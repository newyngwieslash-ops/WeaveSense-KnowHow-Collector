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ab556a7cfa4a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总览" sheetId="1" r:id="R8cf8093762d4408d"/>
    <x:sheet xmlns:r="http://schemas.openxmlformats.org/officeDocument/2006/relationships" name="开发任务" sheetId="2" r:id="Rab3acdf2aa52495c"/>
    <x:sheet xmlns:r="http://schemas.openxmlformats.org/officeDocument/2006/relationships" name="任务规格" sheetId="3" r:id="R34186f59833a4311"/>
    <x:sheet xmlns:r="http://schemas.openxmlformats.org/officeDocument/2006/relationships" name="需求与验收" sheetId="4" r:id="Rd2c9b820de704a20"/>
    <x:sheet xmlns:r="http://schemas.openxmlformats.org/officeDocument/2006/relationships" name="端到端用例" sheetId="5" r:id="R37d91068ce0a402a"/>
    <x:sheet xmlns:r="http://schemas.openxmlformats.org/officeDocument/2006/relationships" name="基线与约定" sheetId="6" r:id="R31a47696b34a47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yyyy-mm-dd"/>
    <x:numFmt numFmtId="202" formatCode="0%"/>
    <x:numFmt numFmtId="203" formatCode="0.0"/>
  </x:numFmts>
  <x:fonts count="8">
    <x:font>
      <x:sz val="11"/>
      <x:name val="Carlito"/>
    </x:font>
    <x:font>
      <x:sz val="10.5"/>
      <x:color rgb="FF17222D"/>
      <x:name val="Noto Sans CJK SC"/>
    </x:font>
    <x:font>
      <x:b/>
      <x:sz val="16"/>
      <x:color rgb="FF000000"/>
      <x:name val="Noto Sans CJK SC"/>
    </x:font>
    <x:font>
      <x:sz val="10.5"/>
      <x:color rgb="FF56616B"/>
      <x:name val="Noto Sans CJK SC"/>
    </x:font>
    <x:font>
      <x:b/>
      <x:sz val="10.5"/>
      <x:color rgb="FFFFFFFF"/>
      <x:name val="Noto Sans CJK SC"/>
    </x:font>
    <x:font>
      <x:b/>
      <x:sz val="13"/>
      <x:color rgb="FF17222D"/>
      <x:name val="Noto Sans CJK SC"/>
    </x:font>
    <x:font>
      <x:sz val="10.5"/>
      <x:color rgb="FF225B7C"/>
      <x:name val="Noto Sans CJK SC"/>
    </x:font>
    <x:font>
      <x:b/>
      <x:sz val="10.5"/>
      <x:color rgb="FF17222D"/>
      <x:name val="Noto Sans CJK SC"/>
    </x:font>
  </x:fonts>
  <x:fills count="6">
    <x:fill>
      <x:patternFill patternType="none"/>
    </x:fill>
    <x:fill>
      <x:patternFill patternType="gray125"/>
    </x:fill>
    <x:fill>
      <x:patternFill patternType="solid">
        <x:fgColor rgb="FF203D55"/>
      </x:patternFill>
    </x:fill>
    <x:fill>
      <x:patternFill patternType="solid">
        <x:fgColor rgb="FFF1F5F8"/>
      </x:patternFill>
    </x:fill>
    <x:fill>
      <x:patternFill patternType="solid">
        <x:fgColor rgb="FFFFFFFF"/>
      </x:patternFill>
    </x:fill>
    <x:fill>
      <x:patternFill patternType="solid">
        <x:fgColor rgb="FFFFF3CD"/>
      </x:patternFill>
    </x:fill>
  </x:fills>
  <x:borders count="7">
    <x:border>
      <x:left/>
      <x:right/>
      <x:top/>
      <x:bottom/>
      <x:diagonal/>
    </x:border>
    <x:border>
      <x:left/>
      <x:right/>
      <x:top/>
      <x:bottom style="thin">
        <x:color rgb="FFB7C5D0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 diagonalUp="0" diagonalDown="0">
      <x:left style="none"/>
      <x:right style="none"/>
      <x:top style="none"/>
      <x:bottom style="none"/>
      <x:diagonal/>
    </x:border>
    <x:border diagonalUp="0" diagonalDown="0">
      <x:left style="none"/>
      <x:right style="none"/>
      <x:top style="none"/>
      <x:bottom style="thin">
        <x:color rgb="FFE0E6EB"/>
      </x:bottom>
      <x:diagonal/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vertical="center" wrapText="1"/>
    </x:xf>
    <x:xf numFmtId="0" fontId="1" fillId="3" borderId="6" xfId="0" applyNumberFormat="1" applyFont="1" applyFill="1" applyBorder="1" applyAlignment="1">
      <x:alignment vertical="center" wrapText="1"/>
    </x:xf>
    <x:xf numFmtId="0" fontId="1" fillId="4" borderId="5" xfId="0" applyNumberFormat="1" applyFont="1" applyFill="1" applyBorder="1" applyAlignment="1">
      <x:alignment vertical="center" wrapText="1"/>
    </x:xf>
    <x:xf numFmtId="0" fontId="1" fillId="4" borderId="6" xfId="0" applyNumberFormat="1" applyFont="1" applyFill="1" applyBorder="1" applyAlignment="1">
      <x:alignment vertical="center" wrapText="1"/>
    </x:xf>
    <x:xf numFmtId="0" fontId="1" fillId="5" borderId="6" xfId="0" applyNumberFormat="1" applyFont="1" applyFill="1" applyBorder="1" applyAlignment="1">
      <x:alignment vertical="center" wrapText="1"/>
    </x:xf>
    <x:xf numFmtId="200" fontId="1" fillId="5" borderId="6" xfId="0" applyNumberFormat="1" applyFont="1" applyFill="1" applyBorder="1" applyAlignment="1">
      <x:alignment vertical="center" wrapText="1"/>
    </x:xf>
    <x:xf numFmtId="201" fontId="1" fillId="5" borderId="6" xfId="0" applyNumberFormat="1" applyFont="1" applyFill="1" applyBorder="1" applyAlignment="1">
      <x:alignment vertical="center" wrapText="1"/>
    </x:xf>
    <x:xf numFmtId="0" fontId="1" fillId="3" borderId="6" xfId="0" applyNumberFormat="1" applyFont="1" applyFill="1" applyBorder="1" applyAlignment="1">
      <x:alignment horizontal="center" vertical="center" wrapText="1"/>
    </x:xf>
    <x:xf numFmtId="0" fontId="1" fillId="4" borderId="6" xfId="0" applyNumberFormat="1" applyFont="1" applyFill="1" applyBorder="1" applyAlignment="1">
      <x:alignment horizontal="center" vertical="center" wrapText="1"/>
    </x:xf>
    <x:xf numFmtId="200" fontId="1" fillId="5" borderId="6" xfId="0" applyNumberFormat="1" applyFont="1" applyFill="1" applyBorder="1" applyAlignment="1">
      <x:alignment horizontal="right" vertical="center" wrapText="1"/>
    </x:xf>
    <x:xf numFmtId="0" fontId="1" fillId="3" borderId="6" xfId="0" applyNumberFormat="1" applyFont="1" applyFill="1" applyBorder="1" applyAlignment="1">
      <x:alignment horizontal="right" vertical="center" wrapText="1"/>
    </x:xf>
    <x:xf numFmtId="0" fontId="1" fillId="4" borderId="6" xfId="0" applyNumberFormat="1" applyFont="1" applyFill="1" applyBorder="1" applyAlignment="1">
      <x:alignment horizontal="right" vertical="center" wrapText="1"/>
    </x:xf>
    <x:xf numFmtId="0" fontId="1" fillId="5" borderId="0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vertical="center"/>
    </x:xf>
    <x:xf numFmtId="203" fontId="1" fillId="5" borderId="0" xfId="0" applyNumberFormat="1" applyFont="1" applyFill="1" applyBorder="1" applyAlignment="1">
      <x:alignment vertical="center"/>
    </x:xf>
    <x:xf numFmtId="203" fontId="1" fillId="5" borderId="0" xfId="0" applyNumberFormat="1" applyFont="1" applyFill="1" applyBorder="1" applyAlignment="1">
      <x:alignment vertical="center" wrapText="1"/>
    </x:xf>
    <x:xf numFmtId="202" fontId="1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horizontal="center" vertical="center"/>
    </x:xf>
    <x:xf numFmtId="203" fontId="7" fillId="0" borderId="0" xfId="0" applyNumberFormat="1" applyFont="1" applyFill="1" applyBorder="1" applyAlignment="1">
      <x:alignment horizontal="center" vertical="center"/>
    </x:xf>
    <x:xf numFmtId="203" fontId="7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9C2525"/>
      </x:font>
      <x:fill>
        <x:patternFill>
          <x:bgColor rgb="FFFCE3E3"/>
        </x:patternFill>
      </x:fill>
    </x:dxf>
    <x:dxf>
      <x:font>
        <x:color rgb="FF24533A"/>
      </x:font>
      <x:fill>
        <x:patternFill>
          <x:bgColor rgb="FFE4F0E8"/>
        </x:patternFill>
      </x:fill>
    </x:dxf>
    <x:dxf>
      <x:fill>
        <x:patternFill>
          <x:bgColor rgb="FFFFF3CD"/>
        </x:patternFill>
      </x:fill>
    </x:dxf>
    <x:dxf>
      <x:font>
        <x:b/>
        <x:color rgb="FF9C2525"/>
      </x:font>
      <x:fill>
        <x:patternFill>
          <x:bgColor rgb="FFFCE3E3"/>
        </x:patternFill>
      </x:fill>
    </x:dxf>
    <x:dxf>
      <x:font>
        <x:b/>
        <x:color rgb="FF9C2525"/>
      </x:font>
      <x:fill>
        <x:patternFill patternType="solid">
          <x:bgColor rgb="FFFCE3E3"/>
        </x:patternFill>
      </x:fill>
    </x:dxf>
    <x:dxf>
      <x:font>
        <x:color rgb="FF24533A"/>
      </x:font>
      <x:fill>
        <x:patternFill patternType="solid">
          <x:bgColor rgb="FFE4F0E8"/>
        </x:patternFill>
      </x:fill>
    </x:dxf>
    <x:dxf>
      <x:fill>
        <x:patternFill patternType="solid">
          <x:bgColor rgb="FFFFF3CD"/>
        </x:patternFill>
      </x:fill>
    </x:dxf>
    <x:dxf>
      <x:font>
        <x:b/>
        <x:color rgb="FF9C2525"/>
      </x:font>
      <x:fill>
        <x:patternFill patternType="solid">
          <x:bgColor rgb="FFFCE3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fb21d957dd4a6d" /><Relationship Type="http://schemas.openxmlformats.org/officeDocument/2006/relationships/theme" Target="/xl/theme/theme1.xml" Id="R7e8121358ad14d78" /><Relationship Type="http://schemas.openxmlformats.org/officeDocument/2006/relationships/sharedStrings" Target="/xl/sharedStrings.xml" Id="R2e9bf064fa924849" /><Relationship Type="http://schemas.openxmlformats.org/officeDocument/2006/relationships/worksheet" Target="/xl/worksheets/sheet1.xml" Id="R8cf8093762d4408d" /><Relationship Type="http://schemas.openxmlformats.org/officeDocument/2006/relationships/worksheet" Target="/xl/worksheets/sheet2.xml" Id="Rab3acdf2aa52495c" /><Relationship Type="http://schemas.openxmlformats.org/officeDocument/2006/relationships/worksheet" Target="/xl/worksheets/sheet3.xml" Id="R34186f59833a4311" /><Relationship Type="http://schemas.openxmlformats.org/officeDocument/2006/relationships/worksheet" Target="/xl/worksheets/sheet4.xml" Id="Rd2c9b820de704a20" /><Relationship Type="http://schemas.openxmlformats.org/officeDocument/2006/relationships/worksheet" Target="/xl/worksheets/sheet5.xml" Id="R37d91068ce0a402a" /><Relationship Type="http://schemas.openxmlformats.org/officeDocument/2006/relationships/worksheet" Target="/xl/worksheets/sheet6.xml" Id="R31a47696b34a471a" /></Relationships>
</file>

<file path=xl/tables/table1.xml><?xml version="1.0" encoding="utf-8"?>
<x:table xmlns:x="http://schemas.openxmlformats.org/spreadsheetml/2006/main" id="1" name="DevelopmentTasks" displayName="DevelopmentTasks" ref="A6:Q113" headerRowCount="1" totalsRowCount="0" totalsRowShown="0">
  <x:autoFilter ref="A6:Q113"/>
  <x:tableColumns count="17">
    <x:tableColumn id="1" name="任务ID"/>
    <x:tableColumn id="2" name="开发任务"/>
    <x:tableColumn id="3" name="模块"/>
    <x:tableColumn id="4" name="阶段"/>
    <x:tableColumn id="5" name="里程碑"/>
    <x:tableColumn id="6" name="责任角色"/>
    <x:tableColumn id="7" name="实际负责人"/>
    <x:tableColumn id="8" name="状态"/>
    <x:tableColumn id="9" name="建议人日"/>
    <x:tableColumn id="10" name="前置任务ID"/>
    <x:tableColumn id="11" name="未完成依赖"/>
    <x:tableColumn id="12" name="推进状态"/>
    <x:tableColumn id="13" name="PRD需求ID"/>
    <x:tableColumn id="14" name="计划开始"/>
    <x:tableColumn id="15" name="计划完成"/>
    <x:tableColumn id="16" name="Issue或PR链接"/>
    <x:tableColumn id="17" name="阻塞原因或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skSpecifications" displayName="TaskSpecifications" ref="A6:I113" headerRowCount="1" totalsRowCount="0" totalsRowShown="0">
  <x:autoFilter ref="A6:I113"/>
  <x:tableColumns count="9">
    <x:tableColumn id="1" name="任务ID"/>
    <x:tableColumn id="2" name="开发任务"/>
    <x:tableColumn id="3" name="实施内容"/>
    <x:tableColumn id="4" name="交付物"/>
    <x:tableColumn id="5" name="可验证验收条件"/>
    <x:tableColumn id="6" name="验证方式和关联用例"/>
    <x:tableColumn id="7" name="代码落点"/>
    <x:tableColumn id="8" name="边界与协作说明"/>
    <x:tableColumn id="9" name="依据编号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Requirements" displayName="ProductRequirements" ref="A6:H36" headerRowCount="1" totalsRowCount="0" totalsRowShown="0">
  <x:autoFilter ref="A6:H36"/>
  <x:tableColumns count="8">
    <x:tableColumn id="1" name="需求ID"/>
    <x:tableColumn id="2" name="需求"/>
    <x:tableColumn id="3" name="阶段"/>
    <x:tableColumn id="4" name="功能规格"/>
    <x:tableColumn id="5" name="验收要求"/>
    <x:tableColumn id="6" name="关联任务ID"/>
    <x:tableColumn id="7" name="关联验收用例"/>
    <x:tableColumn id="8" name="依据编号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cceptanceCases" displayName="AcceptanceCases" ref="A6:K36" headerRowCount="1" totalsRowCount="0" totalsRowShown="0">
  <x:autoFilter ref="A6:K36"/>
  <x:tableColumns count="11">
    <x:tableColumn id="1" name="用例ID"/>
    <x:tableColumn id="2" name="验收场景"/>
    <x:tableColumn id="3" name="阶段"/>
    <x:tableColumn id="4" name="前提"/>
    <x:tableColumn id="5" name="执行步骤"/>
    <x:tableColumn id="6" name="预期结果"/>
    <x:tableColumn id="7" name="PRD需求ID"/>
    <x:tableColumn id="8" name="执行状态"/>
    <x:tableColumn id="9" name="验收人"/>
    <x:tableColumn id="10" name="结果或运行证据链接"/>
    <x:tableColumn id="11" name="缺陷链接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haseDefinitions" displayName="PhaseDefinitions" ref="A12:D15" headerRowCount="1" totalsRowCount="0" totalsRowShown="0">
  <x:autoFilter ref="A12:D15"/>
  <x:tableColumns count="4">
    <x:tableColumn id="1" name="阶段"/>
    <x:tableColumn id="2" name="范围"/>
    <x:tableColumn id="3" name="交付含义"/>
    <x:tableColumn id="4" name="完成判断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jectAssumptions" displayName="ProjectAssumptions" ref="A18:D26" headerRowCount="1" totalsRowCount="0" totalsRowShown="0">
  <x:autoFilter ref="A18:D26"/>
  <x:tableColumns count="4">
    <x:tableColumn id="1" name="编号"/>
    <x:tableColumn id="2" name="约定"/>
    <x:tableColumn id="3" name="默认值或假设"/>
    <x:tableColumn id="4" name="启动校准动作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rojectRisks" displayName="ProjectRisks" ref="A29:D39" headerRowCount="1" totalsRowCount="0" totalsRowShown="0">
  <x:autoFilter ref="A29:D39"/>
  <x:tableColumns count="4">
    <x:tableColumn id="1" name="编号"/>
    <x:tableColumn id="2" name="风险"/>
    <x:tableColumn id="3" name="影响或触发"/>
    <x:tableColumn id="4" name="应对与责任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26285d89c54d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c2310abae646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8e5e97610fa44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813e43a9974e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0eebae1861d4896" /><Relationship Type="http://schemas.openxmlformats.org/officeDocument/2006/relationships/table" Target="/xl/tables/table6.xml" Id="Re56d222a3dd442a5" /><Relationship Type="http://schemas.openxmlformats.org/officeDocument/2006/relationships/table" Target="/xl/tables/table7.xml" Id="R138648daa2574662" /></Relationships>
</file>

<file path=xl/worksheets/sheet1.xml><?xml version="1.0" encoding="utf-8"?>
<x:worksheet xmlns:x="http://schemas.openxmlformats.org/spreadsheetml/2006/main">
  <x:sheetPr>
    <x:tabColor rgb="FF203D55"/>
  </x:sheetPr>
  <x:sheetViews>
    <x:sheetView showGridLines="0" workbookViewId="0"/>
  </x:sheetViews>
  <x:sheetFormatPr defaultRowHeight="15"/>
  <x:cols>
    <x:col min="1" max="1" width="29" hidden="0" customWidth="1"/>
    <x:col min="2" max="2" width="12" hidden="0" customWidth="1"/>
    <x:col min="3" max="3" width="16" hidden="0" customWidth="1"/>
    <x:col min="4" max="4" width="17" hidden="0" customWidth="1"/>
    <x:col min="5" max="5" width="13" hidden="0" customWidth="1"/>
    <x:col min="6" max="6" width="14" hidden="0" customWidth="1"/>
    <x:col min="7" max="7" width="19" hidden="0" customWidth="1"/>
    <x:col min="8" max="8" width="6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31" customHeight="1">
      <x:c r="A2" s="3" t="str">
        <x:v>WeaveSense 视频知识工作流开发计划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 t="str">
        <x:v>版本1.0  2026年10月26日。完整V1=P0+P1；P2为后续规划。</x:v>
      </x:c>
      <x:c r="B3" s="2"/>
      <x:c r="C3" s="2"/>
      <x:c r="D3" s="2"/>
      <x:c r="E3" s="2"/>
      <x:c r="F3" s="2"/>
      <x:c r="G3" s="2"/>
      <x:c r="H3" s="2"/>
    </x:row>
    <x:row r="4" ht="8" customHeight="1">
      <x:c r="A4" s="5"/>
      <x:c r="B4" s="5"/>
      <x:c r="C4" s="5"/>
      <x:c r="D4" s="5"/>
      <x:c r="E4" s="5"/>
      <x:c r="F4" s="5"/>
      <x:c r="G4" s="5"/>
      <x:c r="H4" s="5"/>
    </x:row>
    <x:row r="5" ht="24" customHeight="1">
      <x:c r="A5" s="2"/>
      <x:c r="B5" s="2"/>
      <x:c r="C5" s="2"/>
      <x:c r="D5" s="2"/>
      <x:c r="E5" s="2"/>
      <x:c r="F5" s="2"/>
      <x:c r="G5" s="2"/>
      <x:c r="H5" s="2"/>
    </x:row>
    <x:row r="6" ht="31" customHeight="1">
      <x:c r="A6" s="35" t="str">
        <x:v>完整首版任务</x:v>
      </x:c>
      <x:c r="B6" s="37" t="n">
        <x:f>COUNTIFS('开发任务'!$D$7:$D$113,"P0")+COUNTIFS('开发任务'!$D$7:$D$113,"P1")</x:f>
        <x:v>100</x:v>
      </x:c>
      <x:c r="C6" s="35" t="str">
        <x:v>净人日</x:v>
      </x:c>
      <x:c r="D6" s="38" t="n">
        <x:f>SUMIFS('开发任务'!$I$7:$I$113,'开发任务'!$D$7:$D$113,"P0")+SUMIFS('开发任务'!$I$7:$I$113,'开发任务'!$D$7:$D$113,"P1")</x:f>
        <x:v>184</x:v>
      </x:c>
      <x:c r="E6" s="36" t="str">
        <x:v>含预留人日</x:v>
      </x:c>
      <x:c r="F6" s="38" t="n">
        <x:f>IF(ISNUMBER('基线与约定'!B8),D6*(1+'基线与约定'!B8),"待填预留")</x:f>
        <x:v>230</x:v>
      </x:c>
      <x:c r="G6" s="36" t="str">
        <x:v>产能测算周</x:v>
      </x:c>
      <x:c r="H6" s="39" t="n">
        <x:f>IF(AND(ISNUMBER('基线与约定'!B5),'基线与约定'!B5&gt;0,ISNUMBER('基线与约定'!B6),'基线与约定'!B6&gt;0,ISNUMBER('基线与约定'!B7),'基线与约定'!B7&gt;0,ISNUMBER('基线与约定'!B8)),F6/('基线与约定'!B5*'基线与约定'!B6*'基线与约定'!B7),"待填基线")</x:f>
        <x:v>13.62962962962963</x:v>
      </x:c>
    </x:row>
    <x:row r="7" ht="24" customHeight="1">
      <x:c r="A7" s="2"/>
      <x:c r="B7" s="2"/>
      <x:c r="C7" s="2"/>
      <x:c r="D7" s="2"/>
      <x:c r="E7" s="2"/>
      <x:c r="F7" s="2"/>
      <x:c r="G7" s="2"/>
      <x:c r="H7" s="2"/>
    </x:row>
    <x:row r="8" ht="34" customHeight="1">
      <x:c r="A8" s="10" t="str">
        <x:v>阶段</x:v>
      </x:c>
      <x:c r="B8" s="11" t="str">
        <x:v>任务数</x:v>
      </x:c>
      <x:c r="C8" s="11" t="str">
        <x:v>净人日</x:v>
      </x:c>
      <x:c r="D8" s="11" t="str">
        <x:v>含预留人日</x:v>
      </x:c>
      <x:c r="E8" s="11" t="str">
        <x:v>已完成</x:v>
      </x:c>
      <x:c r="F8" s="11" t="str">
        <x:v>完成比例</x:v>
      </x:c>
      <x:c r="G8" s="11" t="str">
        <x:v>产能测算周</x:v>
      </x:c>
      <x:c r="H8" s="12" t="str">
        <x:v>范围</x:v>
      </x:c>
    </x:row>
    <x:row r="9" ht="29" customHeight="1">
      <x:c r="A9" s="2" t="str">
        <x:v>P0</x:v>
      </x:c>
      <x:c r="B9" s="2" t="n">
        <x:f>COUNTIFS('开发任务'!$D$7:$D$113,A9)</x:f>
        <x:v>81</x:v>
      </x:c>
      <x:c r="C9" s="40" t="n">
        <x:f>SUMIFS('开发任务'!$I$7:$I$113,'开发任务'!$D$7:$D$113,A9)</x:f>
        <x:v>144.75</x:v>
      </x:c>
      <x:c r="D9" s="40" t="n">
        <x:f>IF(ISNUMBER('基线与约定'!$B$8),C9*(1+'基线与约定'!$B$8),"待填预留")</x:f>
        <x:v>180.9375</x:v>
      </x:c>
      <x:c r="E9" s="2" t="n">
        <x:f>COUNTIFS('开发任务'!$D$7:$D$113,A9,'开发任务'!$H$7:$H$113,"已完成")</x:f>
        <x:v>2</x:v>
      </x:c>
      <x:c r="F9" s="41" t="n">
        <x:f>IF(B9=0,0,E9/B9)</x:f>
        <x:v>0.024691358024691357</x:v>
      </x:c>
      <x:c r="G9" s="42" t="n">
        <x:f>IF(AND(ISNUMBER('基线与约定'!$B$5),'基线与约定'!$B$5&gt;0,ISNUMBER('基线与约定'!$B$6),'基线与约定'!$B$6&gt;0,ISNUMBER('基线与约定'!$B$7),'基线与约定'!$B$7&gt;0,ISNUMBER('基线与约定'!$B$8)),D9/('基线与约定'!$B$5*'基线与约定'!$B$6*'基线与约定'!$B$7),"待填基线")</x:f>
        <x:v>10.722222222222221</x:v>
      </x:c>
      <x:c r="H9" s="2" t="str">
        <x:v>基础闭环</x:v>
      </x:c>
    </x:row>
    <x:row r="10" ht="29" customHeight="1">
      <x:c r="A10" s="2" t="str">
        <x:v>P1</x:v>
      </x:c>
      <x:c r="B10" s="2" t="n">
        <x:f>COUNTIFS('开发任务'!$D$7:$D$113,A10)</x:f>
        <x:v>19</x:v>
      </x:c>
      <x:c r="C10" s="40" t="n">
        <x:f>SUMIFS('开发任务'!$I$7:$I$113,'开发任务'!$D$7:$D$113,A10)</x:f>
        <x:v>39.25</x:v>
      </x:c>
      <x:c r="D10" s="40" t="n">
        <x:f>IF(ISNUMBER('基线与约定'!$B$8),C10*(1+'基线与约定'!$B$8),"待填预留")</x:f>
        <x:v>49.0625</x:v>
      </x:c>
      <x:c r="E10" s="2" t="n">
        <x:f>COUNTIFS('开发任务'!$D$7:$D$113,A10,'开发任务'!$H$7:$H$113,"已完成")</x:f>
        <x:v>0</x:v>
      </x:c>
      <x:c r="F10" s="41" t="n">
        <x:f>IF(B10=0,0,E10/B10)</x:f>
        <x:v>0</x:v>
      </x:c>
      <x:c r="G10" s="42" t="n">
        <x:f>IF(AND(ISNUMBER('基线与约定'!$B$5),'基线与约定'!$B$5&gt;0,ISNUMBER('基线与约定'!$B$6),'基线与约定'!$B$6&gt;0,ISNUMBER('基线与约定'!$B$7),'基线与约定'!$B$7&gt;0,ISNUMBER('基线与约定'!$B$8)),D10/('基线与约定'!$B$5*'基线与约定'!$B$6*'基线与约定'!$B$7),"待填基线")</x:f>
        <x:v>2.9074074074074074</x:v>
      </x:c>
      <x:c r="H10" s="2" t="str">
        <x:v>完整首版补齐</x:v>
      </x:c>
    </x:row>
    <x:row r="11" ht="29" customHeight="1">
      <x:c r="A11" s="2" t="str">
        <x:v>P2</x:v>
      </x:c>
      <x:c r="B11" s="2" t="n">
        <x:f>COUNTIFS('开发任务'!$D$7:$D$113,A11)</x:f>
        <x:v>7</x:v>
      </x:c>
      <x:c r="C11" s="40" t="n">
        <x:f>SUMIFS('开发任务'!$I$7:$I$113,'开发任务'!$D$7:$D$113,A11)</x:f>
        <x:v>26</x:v>
      </x:c>
      <x:c r="D11" s="40" t="n">
        <x:f>IF(ISNUMBER('基线与约定'!$B$8),C11*(1+'基线与约定'!$B$8),"待填预留")</x:f>
        <x:v>32.5</x:v>
      </x:c>
      <x:c r="E11" s="2" t="n">
        <x:f>COUNTIFS('开发任务'!$D$7:$D$113,A11,'开发任务'!$H$7:$H$113,"已完成")</x:f>
        <x:v>0</x:v>
      </x:c>
      <x:c r="F11" s="41" t="n">
        <x:f>IF(B11=0,0,E11/B11)</x:f>
        <x:v>0</x:v>
      </x:c>
      <x:c r="G11" s="42" t="n">
        <x:f>IF(AND(ISNUMBER('基线与约定'!$B$5),'基线与约定'!$B$5&gt;0,ISNUMBER('基线与约定'!$B$6),'基线与约定'!$B$6&gt;0,ISNUMBER('基线与约定'!$B$7),'基线与约定'!$B$7&gt;0,ISNUMBER('基线与约定'!$B$8)),D11/('基线与约定'!$B$5*'基线与约定'!$B$6*'基线与约定'!$B$7),"待填基线")</x:f>
        <x:v>1.9259259259259258</x:v>
      </x:c>
      <x:c r="H11" s="2" t="str">
        <x:v>后续扩展，不计V1</x:v>
      </x:c>
    </x:row>
    <x:row r="12" ht="24" customHeight="1">
      <x:c r="A12" s="2"/>
      <x:c r="B12" s="2"/>
      <x:c r="C12" s="2"/>
      <x:c r="D12" s="2"/>
      <x:c r="E12" s="2"/>
      <x:c r="F12" s="2"/>
      <x:c r="G12" s="2"/>
      <x:c r="H12" s="2"/>
    </x:row>
    <x:row r="13" ht="24" customHeight="1">
      <x:c r="A13" s="2" t="str">
        <x:v>产能测算不是日历承诺。实际排期需结合角色瓶颈、前置依赖和外部等待；黄色参数在基线与约定页。</x:v>
      </x:c>
      <x:c r="B13" s="2"/>
      <x:c r="C13" s="2"/>
      <x:c r="D13" s="2"/>
      <x:c r="E13" s="2"/>
      <x:c r="F13" s="2"/>
      <x:c r="G13" s="2"/>
      <x:c r="H13" s="2"/>
    </x:row>
    <x:row r="14" ht="24" customHeight="1">
      <x:c r="A14" s="2" t="str">
        <x:v>主任务状态与人日修改会更新总览。需求、任务和验收用例已对应编号；任务规格保留完整交付与代码落点。</x:v>
      </x:c>
      <x:c r="B14" s="2"/>
      <x:c r="C14" s="2"/>
      <x:c r="D14" s="2"/>
      <x:c r="E14" s="2"/>
      <x:c r="F14" s="2"/>
      <x:c r="G14" s="2"/>
      <x:c r="H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</x:row>
    <x:row r="16" ht="34" customHeight="1">
      <x:c r="A16" s="10" t="str">
        <x:v>首版模块</x:v>
      </x:c>
      <x:c r="B16" s="11" t="str">
        <x:v>P0任务</x:v>
      </x:c>
      <x:c r="C16" s="11" t="str">
        <x:v>P1任务</x:v>
      </x:c>
      <x:c r="D16" s="11" t="str">
        <x:v>V1净人日</x:v>
      </x:c>
      <x:c r="E16" s="11" t="str">
        <x:v>已完成</x:v>
      </x:c>
      <x:c r="F16" s="11" t="str">
        <x:v>完成比例</x:v>
      </x:c>
      <x:c r="G16" s="11" t="str">
        <x:v>任务状态</x:v>
      </x:c>
      <x:c r="H16" s="12" t="str">
        <x:v>备注</x:v>
      </x:c>
    </x:row>
    <x:row r="17" ht="29" customHeight="1">
      <x:c r="A17" s="2" t="str">
        <x:v>基线与领域</x:v>
      </x:c>
      <x:c r="B17" s="2" t="n">
        <x:f>COUNTIFS('开发任务'!$C$7:$C$113,A17,'开发任务'!$D$7:$D$113,"P0")</x:f>
        <x:v>10</x:v>
      </x:c>
      <x:c r="C17" s="2" t="n">
        <x:f>COUNTIFS('开发任务'!$C$7:$C$113,A17,'开发任务'!$D$7:$D$113,"P1")</x:f>
        <x:v>0</x:v>
      </x:c>
      <x:c r="D17" s="40" t="n">
        <x:f>SUMIFS('开发任务'!$I$7:$I$113,'开发任务'!$C$7:$C$113,A17,'开发任务'!$D$7:$D$113,"P0")+SUMIFS('开发任务'!$I$7:$I$113,'开发任务'!$C$7:$C$113,A17,'开发任务'!$D$7:$D$113,"P1")</x:f>
        <x:v>14.25</x:v>
      </x:c>
      <x:c r="E17" s="2" t="n">
        <x:f>COUNTIFS('开发任务'!$C$7:$C$113,A17,'开发任务'!$D$7:$D$113,"P0",'开发任务'!$H$7:$H$113,"已完成")+COUNTIFS('开发任务'!$C$7:$C$113,A17,'开发任务'!$D$7:$D$113,"P1",'开发任务'!$H$7:$H$113,"已完成")</x:f>
        <x:v>2</x:v>
      </x:c>
      <x:c r="F17" s="41" t="n">
        <x:f>IF(SUM(B17:C17)=0,0,E17/SUM(B17:C17))</x:f>
        <x:v>0.2</x:v>
      </x:c>
      <x:c r="G17" s="2" t="str">
        <x:f>IF(E17=SUM(B17:C17),"已完成","按依赖推进")</x:f>
        <x:v>按依赖推进</x:v>
      </x:c>
      <x:c r="H17" s="2"/>
    </x:row>
    <x:row r="18" ht="29" customHeight="1">
      <x:c r="A18" s="2" t="str">
        <x:v>来源与增量发现</x:v>
      </x:c>
      <x:c r="B18" s="2" t="n">
        <x:f>COUNTIFS('开发任务'!$C$7:$C$113,A18,'开发任务'!$D$7:$D$113,"P0")</x:f>
        <x:v>9</x:v>
      </x:c>
      <x:c r="C18" s="2" t="n">
        <x:f>COUNTIFS('开发任务'!$C$7:$C$113,A18,'开发任务'!$D$7:$D$113,"P1")</x:f>
        <x:v>0</x:v>
      </x:c>
      <x:c r="D18" s="40" t="n">
        <x:f>SUMIFS('开发任务'!$I$7:$I$113,'开发任务'!$C$7:$C$113,A18,'开发任务'!$D$7:$D$113,"P0")+SUMIFS('开发任务'!$I$7:$I$113,'开发任务'!$C$7:$C$113,A18,'开发任务'!$D$7:$D$113,"P1")</x:f>
        <x:v>13.75</x:v>
      </x:c>
      <x:c r="E18" s="2" t="n">
        <x:f>COUNTIFS('开发任务'!$C$7:$C$113,A18,'开发任务'!$D$7:$D$113,"P0",'开发任务'!$H$7:$H$113,"已完成")+COUNTIFS('开发任务'!$C$7:$C$113,A18,'开发任务'!$D$7:$D$113,"P1",'开发任务'!$H$7:$H$113,"已完成")</x:f>
        <x:v>0</x:v>
      </x:c>
      <x:c r="F18" s="41" t="n">
        <x:f>IF(SUM(B18:C18)=0,0,E18/SUM(B18:C18))</x:f>
        <x:v>0</x:v>
      </x:c>
      <x:c r="G18" s="2" t="str">
        <x:f>IF(E18=SUM(B18:C18),"已完成","按依赖推进")</x:f>
        <x:v>按依赖推进</x:v>
      </x:c>
      <x:c r="H18" s="2"/>
    </x:row>
    <x:row r="19" ht="29" customHeight="1">
      <x:c r="A19" s="2" t="str">
        <x:v>媒体任务与持续调度</x:v>
      </x:c>
      <x:c r="B19" s="2" t="n">
        <x:f>COUNTIFS('开发任务'!$C$7:$C$113,A19,'开发任务'!$D$7:$D$113,"P0")</x:f>
        <x:v>13</x:v>
      </x:c>
      <x:c r="C19" s="2" t="n">
        <x:f>COUNTIFS('开发任务'!$C$7:$C$113,A19,'开发任务'!$D$7:$D$113,"P1")</x:f>
        <x:v>0</x:v>
      </x:c>
      <x:c r="D19" s="40" t="n">
        <x:f>SUMIFS('开发任务'!$I$7:$I$113,'开发任务'!$C$7:$C$113,A19,'开发任务'!$D$7:$D$113,"P0")+SUMIFS('开发任务'!$I$7:$I$113,'开发任务'!$C$7:$C$113,A19,'开发任务'!$D$7:$D$113,"P1")</x:f>
        <x:v>22.75</x:v>
      </x:c>
      <x:c r="E19" s="2" t="n">
        <x:f>COUNTIFS('开发任务'!$C$7:$C$113,A19,'开发任务'!$D$7:$D$113,"P0",'开发任务'!$H$7:$H$113,"已完成")+COUNTIFS('开发任务'!$C$7:$C$113,A19,'开发任务'!$D$7:$D$113,"P1",'开发任务'!$H$7:$H$113,"已完成")</x:f>
        <x:v>0</x:v>
      </x:c>
      <x:c r="F19" s="41" t="n">
        <x:f>IF(SUM(B19:C19)=0,0,E19/SUM(B19:C19))</x:f>
        <x:v>0</x:v>
      </x:c>
      <x:c r="G19" s="2" t="str">
        <x:f>IF(E19=SUM(B19:C19),"已完成","按依赖推进")</x:f>
        <x:v>按依赖推进</x:v>
      </x:c>
      <x:c r="H19" s="2"/>
    </x:row>
    <x:row r="20" ht="29" customHeight="1">
      <x:c r="A20" s="2" t="str">
        <x:v>内容处理与证据</x:v>
      </x:c>
      <x:c r="B20" s="2" t="n">
        <x:f>COUNTIFS('开发任务'!$C$7:$C$113,A20,'开发任务'!$D$7:$D$113,"P0")</x:f>
        <x:v>12</x:v>
      </x:c>
      <x:c r="C20" s="2" t="n">
        <x:f>COUNTIFS('开发任务'!$C$7:$C$113,A20,'开发任务'!$D$7:$D$113,"P1")</x:f>
        <x:v>6</x:v>
      </x:c>
      <x:c r="D20" s="40" t="n">
        <x:f>SUMIFS('开发任务'!$I$7:$I$113,'开发任务'!$C$7:$C$113,A20,'开发任务'!$D$7:$D$113,"P0")+SUMIFS('开发任务'!$I$7:$I$113,'开发任务'!$C$7:$C$113,A20,'开发任务'!$D$7:$D$113,"P1")</x:f>
        <x:v>36.5</x:v>
      </x:c>
      <x:c r="E20" s="2" t="n">
        <x:f>COUNTIFS('开发任务'!$C$7:$C$113,A20,'开发任务'!$D$7:$D$113,"P0",'开发任务'!$H$7:$H$113,"已完成")+COUNTIFS('开发任务'!$C$7:$C$113,A20,'开发任务'!$D$7:$D$113,"P1",'开发任务'!$H$7:$H$113,"已完成")</x:f>
        <x:v>0</x:v>
      </x:c>
      <x:c r="F20" s="41" t="n">
        <x:f>IF(SUM(B20:C20)=0,0,E20/SUM(B20:C20))</x:f>
        <x:v>0</x:v>
      </x:c>
      <x:c r="G20" s="2" t="str">
        <x:f>IF(E20=SUM(B20:C20),"已完成","按依赖推进")</x:f>
        <x:v>按依赖推进</x:v>
      </x:c>
      <x:c r="H20" s="2"/>
    </x:row>
    <x:row r="21" ht="29" customHeight="1">
      <x:c r="A21" s="2" t="str">
        <x:v>知识整理与治理</x:v>
      </x:c>
      <x:c r="B21" s="2" t="n">
        <x:f>COUNTIFS('开发任务'!$C$7:$C$113,A21,'开发任务'!$D$7:$D$113,"P0")</x:f>
        <x:v>6</x:v>
      </x:c>
      <x:c r="C21" s="2" t="n">
        <x:f>COUNTIFS('开发任务'!$C$7:$C$113,A21,'开发任务'!$D$7:$D$113,"P1")</x:f>
        <x:v>2</x:v>
      </x:c>
      <x:c r="D21" s="40" t="n">
        <x:f>SUMIFS('开发任务'!$I$7:$I$113,'开发任务'!$C$7:$C$113,A21,'开发任务'!$D$7:$D$113,"P0")+SUMIFS('开发任务'!$I$7:$I$113,'开发任务'!$C$7:$C$113,A21,'开发任务'!$D$7:$D$113,"P1")</x:f>
        <x:v>19</x:v>
      </x:c>
      <x:c r="E21" s="2" t="n">
        <x:f>COUNTIFS('开发任务'!$C$7:$C$113,A21,'开发任务'!$D$7:$D$113,"P0",'开发任务'!$H$7:$H$113,"已完成")+COUNTIFS('开发任务'!$C$7:$C$113,A21,'开发任务'!$D$7:$D$113,"P1",'开发任务'!$H$7:$H$113,"已完成")</x:f>
        <x:v>0</x:v>
      </x:c>
      <x:c r="F21" s="41" t="n">
        <x:f>IF(SUM(B21:C21)=0,0,E21/SUM(B21:C21))</x:f>
        <x:v>0</x:v>
      </x:c>
      <x:c r="G21" s="2" t="str">
        <x:f>IF(E21=SUM(B21:C21),"已完成","按依赖推进")</x:f>
        <x:v>按依赖推进</x:v>
      </x:c>
      <x:c r="H21" s="2"/>
    </x:row>
    <x:row r="22" ht="29" customHeight="1">
      <x:c r="A22" s="2" t="str">
        <x:v>行业Skill</x:v>
      </x:c>
      <x:c r="B22" s="2" t="n">
        <x:f>COUNTIFS('开发任务'!$C$7:$C$113,A22,'开发任务'!$D$7:$D$113,"P0")</x:f>
        <x:v>2</x:v>
      </x:c>
      <x:c r="C22" s="2" t="n">
        <x:f>COUNTIFS('开发任务'!$C$7:$C$113,A22,'开发任务'!$D$7:$D$113,"P1")</x:f>
        <x:v>3</x:v>
      </x:c>
      <x:c r="D22" s="40" t="n">
        <x:f>SUMIFS('开发任务'!$I$7:$I$113,'开发任务'!$C$7:$C$113,A22,'开发任务'!$D$7:$D$113,"P0")+SUMIFS('开发任务'!$I$7:$I$113,'开发任务'!$C$7:$C$113,A22,'开发任务'!$D$7:$D$113,"P1")</x:f>
        <x:v>10</x:v>
      </x:c>
      <x:c r="E22" s="2" t="n">
        <x:f>COUNTIFS('开发任务'!$C$7:$C$113,A22,'开发任务'!$D$7:$D$113,"P0",'开发任务'!$H$7:$H$113,"已完成")+COUNTIFS('开发任务'!$C$7:$C$113,A22,'开发任务'!$D$7:$D$113,"P1",'开发任务'!$H$7:$H$113,"已完成")</x:f>
        <x:v>0</x:v>
      </x:c>
      <x:c r="F22" s="41" t="n">
        <x:f>IF(SUM(B22:C22)=0,0,E22/SUM(B22:C22))</x:f>
        <x:v>0</x:v>
      </x:c>
      <x:c r="G22" s="2" t="str">
        <x:f>IF(E22=SUM(B22:C22),"已完成","按依赖推进")</x:f>
        <x:v>按依赖推进</x:v>
      </x:c>
      <x:c r="H22" s="2"/>
    </x:row>
    <x:row r="23" ht="29" customHeight="1">
      <x:c r="A23" s="2" t="str">
        <x:v>MCP与宿主接口</x:v>
      </x:c>
      <x:c r="B23" s="2" t="n">
        <x:f>COUNTIFS('开发任务'!$C$7:$C$113,A23,'开发任务'!$D$7:$D$113,"P0")</x:f>
        <x:v>13</x:v>
      </x:c>
      <x:c r="C23" s="2" t="n">
        <x:f>COUNTIFS('开发任务'!$C$7:$C$113,A23,'开发任务'!$D$7:$D$113,"P1")</x:f>
        <x:v>0</x:v>
      </x:c>
      <x:c r="D23" s="40" t="n">
        <x:f>SUMIFS('开发任务'!$I$7:$I$113,'开发任务'!$C$7:$C$113,A23,'开发任务'!$D$7:$D$113,"P0")+SUMIFS('开发任务'!$I$7:$I$113,'开发任务'!$C$7:$C$113,A23,'开发任务'!$D$7:$D$113,"P1")</x:f>
        <x:v>21.5</x:v>
      </x:c>
      <x:c r="E23" s="2" t="n">
        <x:f>COUNTIFS('开发任务'!$C$7:$C$113,A23,'开发任务'!$D$7:$D$113,"P0",'开发任务'!$H$7:$H$113,"已完成")+COUNTIFS('开发任务'!$C$7:$C$113,A23,'开发任务'!$D$7:$D$113,"P1",'开发任务'!$H$7:$H$113,"已完成")</x:f>
        <x:v>0</x:v>
      </x:c>
      <x:c r="F23" s="41" t="n">
        <x:f>IF(SUM(B23:C23)=0,0,E23/SUM(B23:C23))</x:f>
        <x:v>0</x:v>
      </x:c>
      <x:c r="G23" s="2" t="str">
        <x:f>IF(E23=SUM(B23:C23),"已完成","按依赖推进")</x:f>
        <x:v>按依赖推进</x:v>
      </x:c>
      <x:c r="H23" s="2"/>
    </x:row>
    <x:row r="24" ht="29" customHeight="1">
      <x:c r="A24" s="2" t="str">
        <x:v>宿主界面</x:v>
      </x:c>
      <x:c r="B24" s="2" t="n">
        <x:f>COUNTIFS('开发任务'!$C$7:$C$113,A24,'开发任务'!$D$7:$D$113,"P0")</x:f>
        <x:v>8</x:v>
      </x:c>
      <x:c r="C24" s="2" t="n">
        <x:f>COUNTIFS('开发任务'!$C$7:$C$113,A24,'开发任务'!$D$7:$D$113,"P1")</x:f>
        <x:v>1</x:v>
      </x:c>
      <x:c r="D24" s="40" t="n">
        <x:f>SUMIFS('开发任务'!$I$7:$I$113,'开发任务'!$C$7:$C$113,A24,'开发任务'!$D$7:$D$113,"P0")+SUMIFS('开发任务'!$I$7:$I$113,'开发任务'!$C$7:$C$113,A24,'开发任务'!$D$7:$D$113,"P1")</x:f>
        <x:v>17</x:v>
      </x:c>
      <x:c r="E24" s="2" t="n">
        <x:f>COUNTIFS('开发任务'!$C$7:$C$113,A24,'开发任务'!$D$7:$D$113,"P0",'开发任务'!$H$7:$H$113,"已完成")+COUNTIFS('开发任务'!$C$7:$C$113,A24,'开发任务'!$D$7:$D$113,"P1",'开发任务'!$H$7:$H$113,"已完成")</x:f>
        <x:v>0</x:v>
      </x:c>
      <x:c r="F24" s="41" t="n">
        <x:f>IF(SUM(B24:C24)=0,0,E24/SUM(B24:C24))</x:f>
        <x:v>0</x:v>
      </x:c>
      <x:c r="G24" s="2" t="str">
        <x:f>IF(E24=SUM(B24:C24),"已完成","按依赖推进")</x:f>
        <x:v>按依赖推进</x:v>
      </x:c>
      <x:c r="H24" s="2"/>
    </x:row>
    <x:row r="25" ht="29" customHeight="1">
      <x:c r="A25" s="2" t="str">
        <x:v>运行与维护</x:v>
      </x:c>
      <x:c r="B25" s="2" t="n">
        <x:f>COUNTIFS('开发任务'!$C$7:$C$113,A25,'开发任务'!$D$7:$D$113,"P0")</x:f>
        <x:v>2</x:v>
      </x:c>
      <x:c r="C25" s="2" t="n">
        <x:f>COUNTIFS('开发任务'!$C$7:$C$113,A25,'开发任务'!$D$7:$D$113,"P1")</x:f>
        <x:v>4</x:v>
      </x:c>
      <x:c r="D25" s="40" t="n">
        <x:f>SUMIFS('开发任务'!$I$7:$I$113,'开发任务'!$C$7:$C$113,A25,'开发任务'!$D$7:$D$113,"P0")+SUMIFS('开发任务'!$I$7:$I$113,'开发任务'!$C$7:$C$113,A25,'开发任务'!$D$7:$D$113,"P1")</x:f>
        <x:v>10.25</x:v>
      </x:c>
      <x:c r="E25" s="2" t="n">
        <x:f>COUNTIFS('开发任务'!$C$7:$C$113,A25,'开发任务'!$D$7:$D$113,"P0",'开发任务'!$H$7:$H$113,"已完成")+COUNTIFS('开发任务'!$C$7:$C$113,A25,'开发任务'!$D$7:$D$113,"P1",'开发任务'!$H$7:$H$113,"已完成")</x:f>
        <x:v>0</x:v>
      </x:c>
      <x:c r="F25" s="41" t="n">
        <x:f>IF(SUM(B25:C25)=0,0,E25/SUM(B25:C25))</x:f>
        <x:v>0</x:v>
      </x:c>
      <x:c r="G25" s="2" t="str">
        <x:f>IF(E25=SUM(B25:C25),"已完成","按依赖推进")</x:f>
        <x:v>按依赖推进</x:v>
      </x:c>
      <x:c r="H25" s="2"/>
    </x:row>
    <x:row r="26" ht="29" customHeight="1">
      <x:c r="A26" s="2" t="str">
        <x:v>验收与发布</x:v>
      </x:c>
      <x:c r="B26" s="2" t="n">
        <x:f>COUNTIFS('开发任务'!$C$7:$C$113,A26,'开发任务'!$D$7:$D$113,"P0")</x:f>
        <x:v>6</x:v>
      </x:c>
      <x:c r="C26" s="2" t="n">
        <x:f>COUNTIFS('开发任务'!$C$7:$C$113,A26,'开发任务'!$D$7:$D$113,"P1")</x:f>
        <x:v>3</x:v>
      </x:c>
      <x:c r="D26" s="40" t="n">
        <x:f>SUMIFS('开发任务'!$I$7:$I$113,'开发任务'!$C$7:$C$113,A26,'开发任务'!$D$7:$D$113,"P0")+SUMIFS('开发任务'!$I$7:$I$113,'开发任务'!$C$7:$C$113,A26,'开发任务'!$D$7:$D$113,"P1")</x:f>
        <x:v>19</x:v>
      </x:c>
      <x:c r="E26" s="2" t="n">
        <x:f>COUNTIFS('开发任务'!$C$7:$C$113,A26,'开发任务'!$D$7:$D$113,"P0",'开发任务'!$H$7:$H$113,"已完成")+COUNTIFS('开发任务'!$C$7:$C$113,A26,'开发任务'!$D$7:$D$113,"P1",'开发任务'!$H$7:$H$113,"已完成")</x:f>
        <x:v>0</x:v>
      </x:c>
      <x:c r="F26" s="41" t="n">
        <x:f>IF(SUM(B26:C26)=0,0,E26/SUM(B26:C26))</x:f>
        <x:v>0</x:v>
      </x:c>
      <x:c r="G26" s="2" t="str">
        <x:f>IF(E26=SUM(B26:C26),"已完成","按依赖推进")</x:f>
        <x:v>按依赖推进</x:v>
      </x:c>
      <x:c r="H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</x:row>
    <x:row r="29" ht="34" customHeight="1">
      <x:c r="A29" s="10" t="str">
        <x:v>里程碑</x:v>
      </x:c>
      <x:c r="B29" s="11" t="str">
        <x:v>范围</x:v>
      </x:c>
      <x:c r="C29" s="11" t="str">
        <x:v>任务数</x:v>
      </x:c>
      <x:c r="D29" s="11" t="str">
        <x:v>净人日</x:v>
      </x:c>
      <x:c r="E29" s="11" t="str">
        <x:v>已完成</x:v>
      </x:c>
      <x:c r="F29" s="11" t="str">
        <x:v>关口状态</x:v>
      </x:c>
      <x:c r="G29" s="11" t="str">
        <x:v>前置关口</x:v>
      </x:c>
      <x:c r="H29" s="12" t="str">
        <x:v>退出条件</x:v>
      </x:c>
    </x:row>
    <x:row r="30" ht="60" customHeight="1">
      <x:c r="A30" s="13" t="str">
        <x:v>M0 基线冻结与可行性验证</x:v>
      </x:c>
      <x:c r="B30" s="13" t="str">
        <x:v>P0</x:v>
      </x:c>
      <x:c r="C30" s="13" t="n">
        <x:f>COUNTIFS('开发任务'!$E$7:$E$113,"M0")</x:f>
        <x:v>9</x:v>
      </x:c>
      <x:c r="D30" s="43" t="n">
        <x:f>SUMIFS('开发任务'!$I$7:$I$113,'开发任务'!$E$7:$E$113,"M0")</x:f>
        <x:v>12.25</x:v>
      </x:c>
      <x:c r="E30" s="13" t="n">
        <x:f>COUNTIFS('开发任务'!$E$7:$E$113,"M0",'开发任务'!$H$7:$H$113,"已完成")</x:f>
        <x:v>2</x:v>
      </x:c>
      <x:c r="F30" s="13" t="str">
        <x:f>IF(E30=C30,"任务完成待签收","未完成")</x:f>
        <x:v>未完成</x:v>
      </x:c>
      <x:c r="G30" s="13" t="str">
        <x:v>启动</x:v>
      </x:c>
      <x:c r="H30" s="13" t="str">
        <x:v>固定三项目commit、样本和领域；双平台真实发现下载；宿主MCP与API最小连通；测量媒体处理能力。</x:v>
      </x:c>
    </x:row>
    <x:row r="31" ht="60" customHeight="1">
      <x:c r="A31" s="13" t="str">
        <x:v>M1 采集与后台任务</x:v>
      </x:c>
      <x:c r="B31" s="13" t="str">
        <x:v>P0</x:v>
      </x:c>
      <x:c r="C31" s="13" t="n">
        <x:f>COUNTIFS('开发任务'!$E$7:$E$113,"M1")</x:f>
        <x:v>34</x:v>
      </x:c>
      <x:c r="D31" s="43" t="n">
        <x:f>SUMIFS('开发任务'!$I$7:$I$113,'开发任务'!$E$7:$E$113,"M1")</x:f>
        <x:v>60</x:v>
      </x:c>
      <x:c r="E31" s="13" t="n">
        <x:f>COUNTIFS('开发任务'!$E$7:$E$113,"M1",'开发任务'!$H$7:$H$113,"已完成")</x:f>
        <x:v>0</x:v>
      </x:c>
      <x:c r="F31" s="13" t="str">
        <x:f>IF(E31=C31,"任务完成待签收","未完成")</x:f>
        <x:v>未完成</x:v>
      </x:c>
      <x:c r="G31" s="13" t="str">
        <x:v>M0</x:v>
      </x:c>
      <x:c r="H31" s="13" t="str">
        <x:v>两平台源、游标和异步媒体job落地；单一调度；恢复、限流、取消和最小权限通过。</x:v>
      </x:c>
    </x:row>
    <x:row r="32" ht="60" customHeight="1">
      <x:c r="A32" s="13" t="str">
        <x:v>M2 证据入库与基础可用</x:v>
      </x:c>
      <x:c r="B32" s="13" t="str">
        <x:v>P0</x:v>
      </x:c>
      <x:c r="C32" s="13" t="n">
        <x:f>COUNTIFS('开发任务'!$E$7:$E$113,"M2")</x:f>
        <x:v>38</x:v>
      </x:c>
      <x:c r="D32" s="43" t="n">
        <x:f>SUMIFS('开发任务'!$I$7:$I$113,'开发任务'!$E$7:$E$113,"M2")</x:f>
        <x:v>72.5</x:v>
      </x:c>
      <x:c r="E32" s="13" t="n">
        <x:f>COUNTIFS('开发任务'!$E$7:$E$113,"M2",'开发任务'!$H$7:$H$113,"已完成")</x:f>
        <x:v>0</x:v>
      </x:c>
      <x:c r="F32" s="13" t="str">
        <x:f>IF(E32=C32,"任务完成待签收","未完成")</x:f>
        <x:v>未完成</x:v>
      </x:c>
      <x:c r="G32" s="13" t="str">
        <x:v>M1</x:v>
      </x:c>
      <x:c r="H32" s="13" t="str">
        <x:v>字幕/ASR完整性、时轴证据、ready屏障、知识复核、检索和原生整理Skill完成。</x:v>
      </x:c>
    </x:row>
    <x:row r="33" ht="60" customHeight="1">
      <x:c r="A33" s="13" t="str">
        <x:v>M3 视觉与Skill沉淀</x:v>
      </x:c>
      <x:c r="B33" s="13" t="str">
        <x:v>P1</x:v>
      </x:c>
      <x:c r="C33" s="13" t="n">
        <x:f>COUNTIFS('开发任务'!$E$7:$E$113,"M3")</x:f>
        <x:v>14</x:v>
      </x:c>
      <x:c r="D33" s="43" t="n">
        <x:f>SUMIFS('开发任务'!$I$7:$I$113,'开发任务'!$E$7:$E$113,"M3")</x:f>
        <x:v>29.25</x:v>
      </x:c>
      <x:c r="E33" s="13" t="n">
        <x:f>COUNTIFS('开发任务'!$E$7:$E$113,"M3",'开发任务'!$H$7:$H$113,"已完成")</x:f>
        <x:v>0</x:v>
      </x:c>
      <x:c r="F33" s="13" t="str">
        <x:f>IF(E33=C33,"任务完成待签收","未完成")</x:f>
        <x:v>未完成</x:v>
      </x:c>
      <x:c r="G33" s="13" t="str">
        <x:v>M2</x:v>
      </x:c>
      <x:c r="H33" s="13" t="str">
        <x:v>抽帧OCR/VLM、跨源冲突、方法候选、评测、构建部署安装和回滚完成。</x:v>
      </x:c>
    </x:row>
    <x:row r="34" ht="60" customHeight="1">
      <x:c r="A34" s="13" t="str">
        <x:v>M4 完整首版验收发布</x:v>
      </x:c>
      <x:c r="B34" s="13" t="str">
        <x:v>P0/P1</x:v>
      </x:c>
      <x:c r="C34" s="13" t="n">
        <x:f>COUNTIFS('开发任务'!$E$7:$E$113,"M4")</x:f>
        <x:v>5</x:v>
      </x:c>
      <x:c r="D34" s="43" t="n">
        <x:f>SUMIFS('开发任务'!$I$7:$I$113,'开发任务'!$E$7:$E$113,"M4")</x:f>
        <x:v>10</x:v>
      </x:c>
      <x:c r="E34" s="13" t="n">
        <x:f>COUNTIFS('开发任务'!$E$7:$E$113,"M4",'开发任务'!$H$7:$H$113,"已完成")</x:f>
        <x:v>0</x:v>
      </x:c>
      <x:c r="F34" s="13" t="str">
        <x:f>IF(E34=C34,"任务完成待签收","未完成")</x:f>
        <x:v>未完成</x:v>
      </x:c>
      <x:c r="G34" s="13" t="str">
        <x:v>M3</x:v>
      </x:c>
      <x:c r="H34" s="13" t="str">
        <x:v>P0与P1全量验收，迁移演练、实际Agent端到端、M0冻结时长的试点和故障恢复通过。</x:v>
      </x:c>
    </x:row>
    <x:row r="35" ht="60" customHeight="1">
      <x:c r="A35" s="13" t="str">
        <x:v>M5 后续扩展</x:v>
      </x:c>
      <x:c r="B35" s="13" t="str">
        <x:v>P2</x:v>
      </x:c>
      <x:c r="C35" s="13" t="n">
        <x:f>COUNTIFS('开发任务'!$E$7:$E$113,"M5")</x:f>
        <x:v>7</x:v>
      </x:c>
      <x:c r="D35" s="43" t="n">
        <x:f>SUMIFS('开发任务'!$I$7:$I$113,'开发任务'!$E$7:$E$113,"M5")</x:f>
        <x:v>26</x:v>
      </x:c>
      <x:c r="E35" s="13" t="n">
        <x:f>COUNTIFS('开发任务'!$E$7:$E$113,"M5",'开发任务'!$H$7:$H$113,"已完成")</x:f>
        <x:v>0</x:v>
      </x:c>
      <x:c r="F35" s="13" t="str">
        <x:f>IF(E35=C35,"任务完成待签收","未完成")</x:f>
        <x:v>未完成</x:v>
      </x:c>
      <x:c r="G35" s="13" t="str">
        <x:v>M4</x:v>
      </x:c>
      <x:c r="H35" s="13" t="str">
        <x:v>按业务收益扩展CLI、平台、动态技能注册或规模化检索；不计入完整首版。</x:v>
      </x:c>
    </x:row>
    <x:row r="36" ht="24" customHeight="1">
      <x:c r="A36" s="2"/>
      <x:c r="B36" s="2"/>
      <x:c r="C36" s="2"/>
      <x:c r="D36" s="2"/>
      <x:c r="E36" s="2"/>
      <x:c r="F36" s="2"/>
      <x:c r="G36" s="2"/>
      <x:c r="H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</x:row>
    <x:row r="38" ht="24" customHeight="1">
      <x:c r="A38" s="33" t="str">
        <x:v>验收用例执行情况</x:v>
      </x:c>
      <x:c r="B38" s="2"/>
      <x:c r="C38" s="2"/>
      <x:c r="D38" s="2"/>
      <x:c r="E38" s="2"/>
      <x:c r="F38" s="2"/>
      <x:c r="G38" s="2"/>
      <x:c r="H38" s="2"/>
    </x:row>
    <x:row r="39" ht="24" customHeight="1">
      <x:c r="A39" s="2" t="str">
        <x:v>V1用例</x:v>
      </x:c>
      <x:c r="B39" s="2" t="n">
        <x:f>COUNTIFS('端到端用例'!$C$7:$C$36,"P0")+COUNTIFS('端到端用例'!$C$7:$C$36,"P1")</x:f>
        <x:v>29</x:v>
      </x:c>
      <x:c r="C39" s="2" t="str">
        <x:v>已通过</x:v>
      </x:c>
      <x:c r="D39" s="2" t="n">
        <x:f>COUNTIFS('端到端用例'!$C$7:$C$36,"P0",'端到端用例'!$H$7:$H$36,"通过")+COUNTIFS('端到端用例'!$C$7:$C$36,"P1",'端到端用例'!$H$7:$H$36,"通过")</x:f>
        <x:v>23</x:v>
      </x:c>
      <x:c r="E39" s="2" t="str">
        <x:v>尚未通过</x:v>
      </x:c>
      <x:c r="F39" s="2" t="n">
        <x:f>B39-D39</x:f>
        <x:v>6</x:v>
      </x:c>
      <x:c r="G39" s="2"/>
      <x:c r="H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</x:row>
    <x:row r="41" ht="24" customHeight="1">
      <x:c r="A41" s="2" t="str">
        <x:v>完成标准：任务交付和对应验收都有证据。权限、引用完整性、重复发布、数据损坏等关键问题不能以风险预留代替修复。</x:v>
      </x:c>
      <x:c r="B41" s="2"/>
      <x:c r="C41" s="2"/>
      <x:c r="D41" s="2"/>
      <x:c r="E41" s="2"/>
      <x:c r="F41" s="2"/>
      <x:c r="G41" s="2"/>
      <x:c r="H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</x:row>
    <x:row r="43" ht="24" customHeight="1">
      <x:c r="A43" s="2" t="str">
        <x:v>状态说明：本清单尚未开始实施；负责人、计划日期、Issue链接及用例结果需在启动后维护。</x:v>
      </x:c>
      <x:c r="B43" s="2"/>
      <x:c r="C43" s="2"/>
      <x:c r="D43" s="2"/>
      <x:c r="E43" s="2"/>
      <x:c r="F43" s="2"/>
      <x:c r="G43" s="2"/>
      <x:c r="H43" s="2"/>
    </x:row>
    <x:row r="44" ht="24" customHeight="1">
      <x:c r="A44" s="2" t="str">
        <x:v>阅读顺序：开发任务用于排期跟踪，任务规格用于实现，需求与验收用于范围核对，端到端用例用于测试签收。</x:v>
      </x:c>
      <x:c r="B44" s="2"/>
      <x:c r="C44" s="2"/>
      <x:c r="D44" s="2"/>
      <x:c r="E44" s="2"/>
      <x:c r="F44" s="2"/>
      <x:c r="G44" s="2"/>
      <x:c r="H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06D89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4" hidden="0" customWidth="1"/>
    <x:col min="2" max="2" width="44" hidden="0" customWidth="1"/>
    <x:col min="3" max="3" width="23" hidden="0" customWidth="1"/>
    <x:col min="4" max="4" width="9" hidden="0" customWidth="1"/>
    <x:col min="5" max="5" width="10" hidden="0" customWidth="1"/>
    <x:col min="6" max="6" width="25" hidden="0" customWidth="1"/>
    <x:col min="7" max="7" width="17" hidden="0" customWidth="1"/>
    <x:col min="8" max="8" width="14" hidden="0" customWidth="1"/>
    <x:col min="9" max="9" width="13" hidden="0" customWidth="1"/>
    <x:col min="10" max="10" width="48" hidden="0" customWidth="1"/>
    <x:col min="11" max="11" width="14" hidden="0" customWidth="1"/>
    <x:col min="12" max="12" width="17" hidden="0" customWidth="1"/>
    <x:col min="13" max="13" width="26" hidden="0" customWidth="1"/>
    <x:col min="14" max="14" width="16" hidden="0" customWidth="1"/>
    <x:col min="15" max="15" width="16" hidden="0" customWidth="1"/>
    <x:col min="16" max="16" width="36" hidden="0" customWidth="1"/>
    <x:col min="17" max="17" width="4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31" customHeight="1">
      <x:c r="A2" s="3" t="str">
        <x:v>完整开发任务清单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4" customHeight="1">
      <x:c r="A3" s="4" t="str">
        <x:v>黄色字段可编辑。依赖按任务ID计算；新增或删除任务时需同步更新依赖、需求映射和汇总范围。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8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34" customHeight="1">
      <x:c r="A6" s="10" t="str">
        <x:v>任务ID</x:v>
      </x:c>
      <x:c r="B6" s="11" t="str">
        <x:v>开发任务</x:v>
      </x:c>
      <x:c r="C6" s="11" t="str">
        <x:v>模块</x:v>
      </x:c>
      <x:c r="D6" s="11" t="str">
        <x:v>阶段</x:v>
      </x:c>
      <x:c r="E6" s="11" t="str">
        <x:v>里程碑</x:v>
      </x:c>
      <x:c r="F6" s="11" t="str">
        <x:v>责任角色</x:v>
      </x:c>
      <x:c r="G6" s="11" t="str">
        <x:v>实际负责人</x:v>
      </x:c>
      <x:c r="H6" s="11" t="str">
        <x:v>状态</x:v>
      </x:c>
      <x:c r="I6" s="11" t="str">
        <x:v>建议人日</x:v>
      </x:c>
      <x:c r="J6" s="11" t="str">
        <x:v>前置任务ID</x:v>
      </x:c>
      <x:c r="K6" s="11" t="str">
        <x:v>未完成依赖</x:v>
      </x:c>
      <x:c r="L6" s="11" t="str">
        <x:v>推进状态</x:v>
      </x:c>
      <x:c r="M6" s="11" t="str">
        <x:v>PRD需求ID</x:v>
      </x:c>
      <x:c r="N6" s="11" t="str">
        <x:v>计划开始</x:v>
      </x:c>
      <x:c r="O6" s="11" t="str">
        <x:v>计划完成</x:v>
      </x:c>
      <x:c r="P6" s="11" t="str">
        <x:v>Issue或PR链接</x:v>
      </x:c>
      <x:c r="Q6" s="12" t="str">
        <x:v>阻塞原因或备注</x:v>
      </x:c>
    </x:row>
    <x:row r="7" ht="32" hidden="0" customHeight="1">
      <x:c r="A7" s="16" t="str">
        <x:v>COL-001</x:v>
      </x:c>
      <x:c r="B7" s="16" t="str">
        <x:v>锁定宿主与DTK版本、建立真实能力基线</x:v>
      </x:c>
      <x:c r="C7" s="16" t="str">
        <x:v>基线与领域</x:v>
      </x:c>
      <x:c r="D7" s="22" t="str">
        <x:v>P0</x:v>
      </x:c>
      <x:c r="E7" s="22" t="str">
        <x:v>M0</x:v>
      </x:c>
      <x:c r="F7" s="16" t="str">
        <x:v>集成负责人/后端</x:v>
      </x:c>
      <x:c r="G7" s="19" t="str">
        <x:v>loom-media</x:v>
      </x:c>
      <x:c r="H7" s="19" t="str">
        <x:v>已完成</x:v>
      </x:c>
      <x:c r="I7" s="24" t="n">
        <x:v>0.75</x:v>
      </x:c>
      <x:c r="J7" s="25" t="str"/>
      <x:c r="K7" s="25" t="n">
        <x:f>0</x:f>
        <x:v>0</x:v>
      </x:c>
      <x:c r="L7" s="16" t="str">
        <x:f>IF(H7="已完成","已完成",IF(D7="P2","后续规划",IF(H7="阻塞","处理阻塞",IF(H7="暂停","已暂停",IF(K7&gt;0,"等待依赖",IF(G7="","待指派",IF(H7="待验收","待验收","可推进")))))))</x:f>
        <x:v>已完成</x:v>
      </x:c>
      <x:c r="M7" s="16" t="str">
        <x:v>R26</x:v>
      </x:c>
      <x:c r="N7" s="21"/>
      <x:c r="O7" s="21"/>
      <x:c r="P7" s="19" t="str"/>
      <x:c r="Q7" s="19" t="str">
        <x:v>【执行记录】
逐条验收：通过 2。</x:v>
      </x:c>
    </x:row>
    <x:row r="8" ht="107" hidden="0" customHeight="1">
      <x:c r="A8" s="18" t="str">
        <x:v>COL-002</x:v>
      </x:c>
      <x:c r="B8" s="18" t="str">
        <x:v>定义视频来源、分页覆盖与媒体manifest契约</x:v>
      </x:c>
      <x:c r="C8" s="18" t="str">
        <x:v>基线与领域</x:v>
      </x:c>
      <x:c r="D8" s="23" t="str">
        <x:v>P0</x:v>
      </x:c>
      <x:c r="E8" s="23" t="str">
        <x:v>M0</x:v>
      </x:c>
      <x:c r="F8" s="18" t="str">
        <x:v>采集后端/架构师</x:v>
      </x:c>
      <x:c r="G8" s="19" t="str">
        <x:v>loom-media</x:v>
      </x:c>
      <x:c r="H8" s="19" t="str">
        <x:v>待验收</x:v>
      </x:c>
      <x:c r="I8" s="24" t="n">
        <x:v>1.5</x:v>
      </x:c>
      <x:c r="J8" s="26" t="str">
        <x:v>COL-001, FND-002</x:v>
      </x:c>
      <x:c r="K8" s="26" t="n">
        <x:f>2-SUM(COUNTIFS('开发任务'!$A$7:$A$113,"COL-001",'开发任务'!$H$7:$H$113,"已完成"),COUNTIFS('开发任务'!$A$7:$A$113,"FND-002",'开发任务'!$H$7:$H$113,"已完成"))</x:f>
        <x:v>1</x:v>
      </x:c>
      <x:c r="L8" s="18" t="str">
        <x:f>IF(H8="已完成","已完成",IF(D8="P2","后续规划",IF(H8="阻塞","处理阻塞",IF(H8="暂停","已暂停",IF(K8&gt;0,"等待依赖",IF(G8="","待指派",IF(H8="待验收","待验收","可推进")))))))</x:f>
        <x:v>等待依赖</x:v>
      </x:c>
      <x:c r="M8" s="18" t="str">
        <x:v>R02 R04 R06</x:v>
      </x:c>
      <x:c r="N8" s="21"/>
      <x:c r="O8" s="21"/>
      <x:c r="P8" s="19" t="str"/>
      <x:c r="Q8" s="19" t="str">
        <x:v>【执行记录】
自身工程实现及范围化执行证据已核验（应用源码 ff03a18）；不等于原整项验收及依赖已签收。
原直接依赖未签收：FND-002。这是验收依赖，不是未实现代码清单。
本任务证据、执行范围与边界见 V1-CLOSURE.md 和矩阵 COL-002。
逐条验收：执行中 3。</x:v>
      </x:c>
    </x:row>
    <x:row r="9" ht="107" hidden="0" customHeight="1">
      <x:c r="A9" s="16" t="str">
        <x:v>FND-001</x:v>
      </x:c>
      <x:c r="B9" s="16" t="str">
        <x:v>冻结首发行业与业务问题</x:v>
      </x:c>
      <x:c r="C9" s="16" t="str">
        <x:v>基线与领域</x:v>
      </x:c>
      <x:c r="D9" s="22" t="str">
        <x:v>P0</x:v>
      </x:c>
      <x:c r="E9" s="22" t="str">
        <x:v>M0</x:v>
      </x:c>
      <x:c r="F9" s="16" t="str">
        <x:v>产品负责人/行业复核人</x:v>
      </x:c>
      <x:c r="G9" s="19" t="str">
        <x:v>integration</x:v>
      </x:c>
      <x:c r="H9" s="19" t="str">
        <x:v>阻塞</x:v>
      </x:c>
      <x:c r="I9" s="24" t="n">
        <x:v>1</x:v>
      </x:c>
      <x:c r="J9" s="25" t="str"/>
      <x:c r="K9" s="25" t="n">
        <x:f>0</x:f>
        <x:v>0</x:v>
      </x:c>
      <x:c r="L9" s="16" t="str">
        <x:f>IF(H9="已完成","已完成",IF(D9="P2","后续规划",IF(H9="阻塞","处理阻塞",IF(H9="暂停","已暂停",IF(K9&gt;0,"等待依赖",IF(G9="","待指派",IF(H9="待验收","待验收","可推进")))))))</x:f>
        <x:v>处理阻塞</x:v>
      </x:c>
      <x:c r="M9" s="16" t="str">
        <x:v>R01 R27</x:v>
      </x:c>
      <x:c r="N9" s="21"/>
      <x:c r="O9" s="21"/>
      <x:c r="P9" s="19" t="str"/>
      <x:c r="Q9" s="19" t="str">
        <x:v>【执行记录】
原业务定义待确认；通用开发配置及测试不代替实际行业、样本或负责人。
原条款待输入：选定实际行业、5–10个问题、来源使用/保留规则和复核/发布负责人。
本任务证据、执行范围与边界见 V1-CLOSURE.md 和矩阵 FND-001。
逐条验收：阻塞 1。</x:v>
      </x:c>
    </x:row>
    <x:row r="10" ht="95" hidden="0" customHeight="1">
      <x:c r="A10" s="18" t="str">
        <x:v>FND-002</x:v>
      </x:c>
      <x:c r="B10" s="18" t="str">
        <x:v>评审跨组件契约和实施责任</x:v>
      </x:c>
      <x:c r="C10" s="18" t="str">
        <x:v>基线与领域</x:v>
      </x:c>
      <x:c r="D10" s="23" t="str">
        <x:v>P0</x:v>
      </x:c>
      <x:c r="E10" s="23" t="str">
        <x:v>M0</x:v>
      </x:c>
      <x:c r="F10" s="18" t="str">
        <x:v>技术负责人</x:v>
      </x:c>
      <x:c r="G10" s="19" t="str">
        <x:v>integration</x:v>
      </x:c>
      <x:c r="H10" s="19" t="str">
        <x:v>待验收</x:v>
      </x:c>
      <x:c r="I10" s="24" t="n">
        <x:v>0.75</x:v>
      </x:c>
      <x:c r="J10" s="26" t="str">
        <x:v>COL-001, K-001, IF-001</x:v>
      </x:c>
      <x:c r="K10" s="26" t="n">
        <x:f>3-SUM(COUNTIFS('开发任务'!$A$7:$A$113,"COL-001",'开发任务'!$H$7:$H$113,"已完成"),COUNTIFS('开发任务'!$A$7:$A$113,"K-001",'开发任务'!$H$7:$H$113,"已完成"),COUNTIFS('开发任务'!$A$7:$A$113,"IF-001",'开发任务'!$H$7:$H$113,"已完成"))</x:f>
        <x:v>1</x:v>
      </x:c>
      <x:c r="L10" s="18" t="str">
        <x:f>IF(H10="已完成","已完成",IF(D10="P2","后续规划",IF(H10="阻塞","处理阻塞",IF(H10="暂停","已暂停",IF(K10&gt;0,"等待依赖",IF(G10="","待指派",IF(H10="待验收","待验收","可推进")))))))</x:f>
        <x:v>等待依赖</x:v>
      </x:c>
      <x:c r="M10" s="18" t="str">
        <x:v>R05 R12 R17 R21</x:v>
      </x:c>
      <x:c r="N10" s="21"/>
      <x:c r="O10" s="21"/>
      <x:c r="P10" s="19" t="str"/>
      <x:c r="Q10" s="19" t="str">
        <x:v>【执行记录】
自身工程实现及范围化执行证据已核验（应用源码 ff03a18）；不等于原整项验收及依赖已签收。
原直接依赖未签收：K-001。这是验收依赖，不是未实现代码清单。
本任务证据、执行范围与边界见 V1-CLOSURE.md 和矩阵 FND-002。
逐条验收：执行中 1。</x:v>
      </x:c>
    </x:row>
    <x:row r="11" ht="132" hidden="0" customHeight="1">
      <x:c r="A11" s="16" t="str">
        <x:v>FND-003</x:v>
      </x:c>
      <x:c r="B11" s="16" t="str">
        <x:v>建立授权样本与人工标注基线</x:v>
      </x:c>
      <x:c r="C11" s="16" t="str">
        <x:v>基线与领域</x:v>
      </x:c>
      <x:c r="D11" s="22" t="str">
        <x:v>P0</x:v>
      </x:c>
      <x:c r="E11" s="22" t="str">
        <x:v>M0</x:v>
      </x:c>
      <x:c r="F11" s="16" t="str">
        <x:v>QA/行业复核人</x:v>
      </x:c>
      <x:c r="G11" s="19" t="str">
        <x:v>integration</x:v>
      </x:c>
      <x:c r="H11" s="19" t="str">
        <x:v>阻塞</x:v>
      </x:c>
      <x:c r="I11" s="24" t="n">
        <x:v>4</x:v>
      </x:c>
      <x:c r="J11" s="25" t="str">
        <x:v>FND-001, COL-001, K-001</x:v>
      </x:c>
      <x:c r="K11" s="25" t="n">
        <x:f>3-SUM(COUNTIFS('开发任务'!$A$7:$A$113,"FND-001",'开发任务'!$H$7:$H$113,"已完成"),COUNTIFS('开发任务'!$A$7:$A$113,"COL-001",'开发任务'!$H$7:$H$113,"已完成"),COUNTIFS('开发任务'!$A$7:$A$113,"K-001",'开发任务'!$H$7:$H$113,"已完成"))</x:f>
        <x:v>2</x:v>
      </x:c>
      <x:c r="L11" s="16" t="str">
        <x:f>IF(H11="已完成","已完成",IF(D11="P2","后续规划",IF(H11="阻塞","处理阻塞",IF(H11="暂停","已暂停",IF(K11&gt;0,"等待依赖",IF(G11="","待指派",IF(H11="待验收","待验收","可推进")))))))</x:f>
        <x:v>处理阻塞</x:v>
      </x:c>
      <x:c r="M11" s="16" t="str">
        <x:v>R11 R13 R19 R27</x:v>
      </x:c>
      <x:c r="N11" s="21"/>
      <x:c r="O11" s="21"/>
      <x:c r="P11" s="19" t="str"/>
      <x:c r="Q11" s="19" t="str">
        <x:v>【执行记录】
原业务定义待确认；通用开发配置及测试不代替实际行业、样本或负责人。
原条款待输入：冻结覆盖原风险类别的授权双平台样本、人工标签/答案/评分及负向问题；默认建议规模可由M0校准。
原直接依赖未签收：FND-001, K-001。这是验收依赖，不是未实现代码清单。
本任务证据、执行范围与边界见 V1-CLOSURE.md 和矩阵 FND-003。
逐条验收：阻塞 1。</x:v>
      </x:c>
    </x:row>
    <x:row r="12" ht="95" hidden="0" customHeight="1">
      <x:c r="A12" s="18" t="str">
        <x:v>FND-004</x:v>
      </x:c>
      <x:c r="B12" s="18" t="str">
        <x:v>锁定依赖和开源通知</x:v>
      </x:c>
      <x:c r="C12" s="18" t="str">
        <x:v>基线与领域</x:v>
      </x:c>
      <x:c r="D12" s="23" t="str">
        <x:v>P0</x:v>
      </x:c>
      <x:c r="E12" s="23" t="str">
        <x:v>M0</x:v>
      </x:c>
      <x:c r="F12" s="18" t="str">
        <x:v>技术负责人/发布负责人</x:v>
      </x:c>
      <x:c r="G12" s="19" t="str">
        <x:v>integration</x:v>
      </x:c>
      <x:c r="H12" s="19" t="str">
        <x:v>待验收</x:v>
      </x:c>
      <x:c r="I12" s="24" t="n">
        <x:v>1</x:v>
      </x:c>
      <x:c r="J12" s="26" t="str">
        <x:v>COL-001, K-001</x:v>
      </x:c>
      <x:c r="K12" s="26" t="n">
        <x:f>2-SUM(COUNTIFS('开发任务'!$A$7:$A$113,"COL-001",'开发任务'!$H$7:$H$113,"已完成"),COUNTIFS('开发任务'!$A$7:$A$113,"K-001",'开发任务'!$H$7:$H$113,"已完成"))</x:f>
        <x:v>1</x:v>
      </x:c>
      <x:c r="L12" s="18" t="str">
        <x:f>IF(H12="已完成","已完成",IF(D12="P2","后续规划",IF(H12="阻塞","处理阻塞",IF(H12="暂停","已暂停",IF(K12&gt;0,"等待依赖",IF(G12="","待指派",IF(H12="待验收","待验收","可推进")))))))</x:f>
        <x:v>等待依赖</x:v>
      </x:c>
      <x:c r="M12" s="18" t="str">
        <x:v>R26</x:v>
      </x:c>
      <x:c r="N12" s="21"/>
      <x:c r="O12" s="21"/>
      <x:c r="P12" s="19" t="str"/>
      <x:c r="Q12" s="19" t="str">
        <x:v>【执行记录】
自身工程实现及范围化执行证据已核验（应用源码 ff03a18）；不等于原整项验收及依赖已签收。
原直接依赖未签收：K-001。这是验收依赖，不是未实现代码清单。
本任务证据、执行范围与边界见 V1-CLOSURE.md 和矩阵 FND-004。
逐条验收：通过 1。</x:v>
      </x:c>
    </x:row>
    <x:row r="13" ht="132" hidden="0" customHeight="1">
      <x:c r="A13" s="16" t="str">
        <x:v>FND-005</x:v>
      </x:c>
      <x:c r="B13" s="16" t="str">
        <x:v>完成双平台和宿主接口可行性验证</x:v>
      </x:c>
      <x:c r="C13" s="16" t="str">
        <x:v>基线与领域</x:v>
      </x:c>
      <x:c r="D13" s="22" t="str">
        <x:v>P0</x:v>
      </x:c>
      <x:c r="E13" s="22" t="str">
        <x:v>M0</x:v>
      </x:c>
      <x:c r="F13" s="16" t="str">
        <x:v>集成负责人/AI工程师</x:v>
      </x:c>
      <x:c r="G13" s="19" t="str">
        <x:v>integration</x:v>
      </x:c>
      <x:c r="H13" s="19" t="str">
        <x:v>阻塞</x:v>
      </x:c>
      <x:c r="I13" s="24" t="n">
        <x:v>2</x:v>
      </x:c>
      <x:c r="J13" s="25" t="str">
        <x:v>FND-001, COL-001, K-001, IF-001</x:v>
      </x:c>
      <x:c r="K13" s="25" t="n">
        <x:f>4-SUM(COUNTIFS('开发任务'!$A$7:$A$113,"FND-001",'开发任务'!$H$7:$H$113,"已完成"),COUNTIFS('开发任务'!$A$7:$A$113,"COL-001",'开发任务'!$H$7:$H$113,"已完成"),COUNTIFS('开发任务'!$A$7:$A$113,"K-001",'开发任务'!$H$7:$H$113,"已完成"),COUNTIFS('开发任务'!$A$7:$A$113,"IF-001",'开发任务'!$H$7:$H$113,"已完成"))</x:f>
        <x:v>2</x:v>
      </x:c>
      <x:c r="L13" s="16" t="str">
        <x:f>IF(H13="已完成","已完成",IF(D13="P2","后续规划",IF(H13="阻塞","处理阻塞",IF(H13="暂停","已暂停",IF(K13&gt;0,"等待依赖",IF(G13="","待指派",IF(H13="待验收","待验收","可推进")))))))</x:f>
        <x:v>处理阻塞</x:v>
      </x:c>
      <x:c r="M13" s="16" t="str">
        <x:v>R02 R06 R07 R17 R26 R27</x:v>
      </x:c>
      <x:c r="N13" s="21"/>
      <x:c r="O13" s="21"/>
      <x:c r="P13" s="19" t="str"/>
      <x:c r="Q13" s="19" t="str">
        <x:v>【执行记录】
自身工程实现及范围化执行证据已核验（应用源码 ff03a18）；不等于原整项验收及依赖已签收。
原条款待输入：实际双平台少量发现/下载/处理能力与目标环境耗时资源测量；受控adapter/宿主执行证据不冒充平台实测。
原直接依赖未签收：FND-001, K-001。这是验收依赖，不是未实现代码清单。
本任务证据、执行范围与边界见 V1-CLOSURE.md 和矩阵 FND-005。
逐条验收：阻塞 1。</x:v>
      </x:c>
    </x:row>
    <x:row r="14" ht="32" hidden="0" customHeight="1">
      <x:c r="A14" s="18" t="str">
        <x:v>IF-001</x:v>
      </x:c>
      <x:c r="B14" s="18" t="str">
        <x:v>冻结宿主接入边界与现有能力基线</x:v>
      </x:c>
      <x:c r="C14" s="18" t="str">
        <x:v>基线与领域</x:v>
      </x:c>
      <x:c r="D14" s="23" t="str">
        <x:v>P0</x:v>
      </x:c>
      <x:c r="E14" s="23" t="str">
        <x:v>M0</x:v>
      </x:c>
      <x:c r="F14" s="18" t="str">
        <x:v>技术负责人/产品经理</x:v>
      </x:c>
      <x:c r="G14" s="19" t="str">
        <x:v>gateway-ui</x:v>
      </x:c>
      <x:c r="H14" s="19" t="str">
        <x:v>已完成</x:v>
      </x:c>
      <x:c r="I14" s="24" t="n">
        <x:v>0.5</x:v>
      </x:c>
      <x:c r="J14" s="26" t="str"/>
      <x:c r="K14" s="26" t="n">
        <x:f>0</x:f>
        <x:v>0</x:v>
      </x:c>
      <x:c r="L14" s="18" t="str">
        <x:f>IF(H14="已完成","已完成",IF(D14="P2","后续规划",IF(H14="阻塞","处理阻塞",IF(H14="暂停","已暂停",IF(K14&gt;0,"等待依赖",IF(G14="","待指派",IF(H14="待验收","待验收","可推进")))))))</x:f>
        <x:v>已完成</x:v>
      </x:c>
      <x:c r="M14" s="18" t="str">
        <x:v>R17 R18 R26</x:v>
      </x:c>
      <x:c r="N14" s="21"/>
      <x:c r="O14" s="21"/>
      <x:c r="P14" s="19" t="str"/>
      <x:c r="Q14" s="19" t="str">
        <x:v>【执行记录】
逐条验收：通过 3。</x:v>
      </x:c>
    </x:row>
    <x:row r="15" ht="95" hidden="0" customHeight="1">
      <x:c r="A15" s="16" t="str">
        <x:v>K-001</x:v>
      </x:c>
      <x:c r="B15" s="16" t="str">
        <x:v>冻结知识处理复用边界与processing profiles</x:v>
      </x:c>
      <x:c r="C15" s="16" t="str">
        <x:v>基线与领域</x:v>
      </x:c>
      <x:c r="D15" s="22" t="str">
        <x:v>P0</x:v>
      </x:c>
      <x:c r="E15" s="22" t="str">
        <x:v>M0</x:v>
      </x:c>
      <x:c r="F15" s="16" t="str">
        <x:v>架构师/知识工程师</x:v>
      </x:c>
      <x:c r="G15" s="19" t="str">
        <x:v>knowledge</x:v>
      </x:c>
      <x:c r="H15" s="19" t="str">
        <x:v>待验收</x:v>
      </x:c>
      <x:c r="I15" s="24" t="n">
        <x:v>0.75</x:v>
      </x:c>
      <x:c r="J15" s="25" t="str">
        <x:v>FND-001</x:v>
      </x:c>
      <x:c r="K15" s="25" t="n">
        <x:f>1-SUM(COUNTIFS('开发任务'!$A$7:$A$113,"FND-001",'开发任务'!$H$7:$H$113,"已完成"))</x:f>
        <x:v>1</x:v>
      </x:c>
      <x:c r="L15" s="16" t="str">
        <x:f>IF(H15="已完成","已完成",IF(D15="P2","后续规划",IF(H15="阻塞","处理阻塞",IF(H15="暂停","已暂停",IF(K15&gt;0,"等待依赖",IF(G15="","待指派",IF(H15="待验收","待验收","可推进")))))))</x:f>
        <x:v>等待依赖</x:v>
      </x:c>
      <x:c r="M15" s="16" t="str">
        <x:v>R07 R08 R09 R26</x:v>
      </x:c>
      <x:c r="N15" s="21"/>
      <x:c r="O15" s="21"/>
      <x:c r="P15" s="19" t="str"/>
      <x:c r="Q15" s="19" t="str">
        <x:v>【执行记录】
自身工程实现及范围化执行证据已核验（应用源码 ff03a18）；不等于原整项验收及依赖已签收。
原直接依赖未签收：FND-001。这是验收依赖，不是未实现代码清单。
本任务证据、执行范围与边界见 V1-CLOSURE.md 和矩阵 K-001。
逐条验收：执行中 2。</x:v>
      </x:c>
    </x:row>
    <x:row r="16" ht="107" hidden="0" customHeight="1">
      <x:c r="A16" s="18" t="str">
        <x:v>CFG-001</x:v>
      </x:c>
      <x:c r="B16" s="18" t="str">
        <x:v>实现工作区领域配置与版本API</x:v>
      </x:c>
      <x:c r="C16" s="18" t="str">
        <x:v>基线与领域</x:v>
      </x:c>
      <x:c r="D16" s="23" t="str">
        <x:v>P0</x:v>
      </x:c>
      <x:c r="E16" s="23" t="str">
        <x:v>M1</x:v>
      </x:c>
      <x:c r="F16" s="18" t="str">
        <x:v>Loom后端工程师</x:v>
      </x:c>
      <x:c r="G16" s="19" t="str">
        <x:v>knowledge</x:v>
      </x:c>
      <x:c r="H16" s="19" t="str">
        <x:v>待验收</x:v>
      </x:c>
      <x:c r="I16" s="24" t="n">
        <x:v>2</x:v>
      </x:c>
      <x:c r="J16" s="26" t="str">
        <x:v>FND-001, FND-002, COL-003</x:v>
      </x:c>
      <x:c r="K16" s="26" t="n">
        <x:f>3-SUM(COUNTIFS('开发任务'!$A$7:$A$113,"FND-001",'开发任务'!$H$7:$H$113,"已完成"),COUNTIFS('开发任务'!$A$7:$A$113,"FND-002",'开发任务'!$H$7:$H$113,"已完成"),COUNTIFS('开发任务'!$A$7:$A$113,"COL-003",'开发任务'!$H$7:$H$113,"已完成"))</x:f>
        <x:v>3</x:v>
      </x:c>
      <x:c r="L16" s="18" t="str">
        <x:f>IF(H16="已完成","已完成",IF(D16="P2","后续规划",IF(H16="阻塞","处理阻塞",IF(H16="暂停","已暂停",IF(K16&gt;0,"等待依赖",IF(G16="","待指派",IF(H16="待验收","待验收","可推进")))))))</x:f>
        <x:v>等待依赖</x:v>
      </x:c>
      <x:c r="M16" s="18" t="str">
        <x:v>R01 R21</x:v>
      </x:c>
      <x:c r="N16" s="21"/>
      <x:c r="O16" s="21"/>
      <x:c r="P16" s="19" t="str"/>
      <x:c r="Q16" s="19" t="str">
        <x:v>【执行记录】
自身工程实现及范围化执行证据已核验（应用源码 ff03a18）；不等于原整项验收及依赖已签收。
原直接依赖未签收：FND-001, FND-002, COL-003。这是验收依赖，不是未实现代码清单。
本任务证据、执行范围与边界见 V1-CLOSURE.md 和矩阵 CFG-001。
逐条验收：执行中 1。</x:v>
      </x:c>
    </x:row>
    <x:row r="17" ht="107" hidden="0" customHeight="1">
      <x:c r="A17" s="16" t="str">
        <x:v>COL-003</x:v>
      </x:c>
      <x:c r="B17" s="16" t="str">
        <x:v>增加视频来源和持久作业迁移</x:v>
      </x:c>
      <x:c r="C17" s="16" t="str">
        <x:v>来源与增量发现</x:v>
      </x:c>
      <x:c r="D17" s="22" t="str">
        <x:v>P0</x:v>
      </x:c>
      <x:c r="E17" s="22" t="str">
        <x:v>M1</x:v>
      </x:c>
      <x:c r="F17" s="16" t="str">
        <x:v>数据库/后端</x:v>
      </x:c>
      <x:c r="G17" s="19" t="str">
        <x:v>loom-media</x:v>
      </x:c>
      <x:c r="H17" s="19" t="str">
        <x:v>待验收</x:v>
      </x:c>
      <x:c r="I17" s="24" t="n">
        <x:v>2.25</x:v>
      </x:c>
      <x:c r="J17" s="25" t="str">
        <x:v>COL-002, K-002</x:v>
      </x:c>
      <x:c r="K17" s="25" t="n">
        <x:f>2-SUM(COUNTIFS('开发任务'!$A$7:$A$113,"COL-002",'开发任务'!$H$7:$H$113,"已完成"),COUNTIFS('开发任务'!$A$7:$A$113,"K-002",'开发任务'!$H$7:$H$113,"已完成"))</x:f>
        <x:v>2</x:v>
      </x:c>
      <x:c r="L17" s="16" t="str">
        <x:f>IF(H17="已完成","已完成",IF(D17="P2","后续规划",IF(H17="阻塞","处理阻塞",IF(H17="暂停","已暂停",IF(K17&gt;0,"等待依赖",IF(G17="","待指派",IF(H17="待验收","待验收","可推进")))))))</x:f>
        <x:v>等待依赖</x:v>
      </x:c>
      <x:c r="M17" s="16" t="str">
        <x:v>R02 R05 R21 R28</x:v>
      </x:c>
      <x:c r="N17" s="21"/>
      <x:c r="O17" s="21"/>
      <x:c r="P17" s="19" t="str"/>
      <x:c r="Q17" s="19" t="str">
        <x:v>【执行记录】
自身工程实现及范围化执行证据已核验（应用源码 ff03a18）；不等于原整项验收及依赖已签收。
原直接依赖未签收：COL-002, K-002。这是验收依赖，不是未实现代码清单。
本任务证据、执行范围与边界见 V1-CLOSURE.md 和矩阵 COL-003。
逐条验收：执行中 3。</x:v>
      </x:c>
    </x:row>
    <x:row r="18" ht="107" hidden="0" customHeight="1">
      <x:c r="A18" s="18" t="str">
        <x:v>COL-004</x:v>
      </x:c>
      <x:c r="B18" s="18" t="str">
        <x:v>接入现有来源创建/修改校验</x:v>
      </x:c>
      <x:c r="C18" s="18" t="str">
        <x:v>来源与增量发现</x:v>
      </x:c>
      <x:c r="D18" s="23" t="str">
        <x:v>P0</x:v>
      </x:c>
      <x:c r="E18" s="23" t="str">
        <x:v>M1</x:v>
      </x:c>
      <x:c r="F18" s="18" t="str">
        <x:v>Loom后端</x:v>
      </x:c>
      <x:c r="G18" s="19" t="str">
        <x:v>loom-media</x:v>
      </x:c>
      <x:c r="H18" s="19" t="str">
        <x:v>待验收</x:v>
      </x:c>
      <x:c r="I18" s="24" t="n">
        <x:v>1.5</x:v>
      </x:c>
      <x:c r="J18" s="26" t="str">
        <x:v>COL-003, CFG-001</x:v>
      </x:c>
      <x:c r="K18" s="26" t="n">
        <x:f>2-SUM(COUNTIFS('开发任务'!$A$7:$A$113,"COL-003",'开发任务'!$H$7:$H$113,"已完成"),COUNTIFS('开发任务'!$A$7:$A$113,"CFG-001",'开发任务'!$H$7:$H$113,"已完成"))</x:f>
        <x:v>2</x:v>
      </x:c>
      <x:c r="L18" s="18" t="str">
        <x:f>IF(H18="已完成","已完成",IF(D18="P2","后续规划",IF(H18="阻塞","处理阻塞",IF(H18="暂停","已暂停",IF(K18&gt;0,"等待依赖",IF(G18="","待指派",IF(H18="待验收","待验收","可推进")))))))</x:f>
        <x:v>等待依赖</x:v>
      </x:c>
      <x:c r="M18" s="18" t="str">
        <x:v>R02</x:v>
      </x:c>
      <x:c r="N18" s="21"/>
      <x:c r="O18" s="21"/>
      <x:c r="P18" s="19" t="str"/>
      <x:c r="Q18" s="19" t="str">
        <x:v>【执行记录】
自身工程实现及范围化执行证据已核验（应用源码 ff03a18）；不等于原整项验收及依赖已签收。
原直接依赖未签收：COL-003, CFG-001。这是验收依赖，不是未实现代码清单。
本任务证据、执行范围与边界见 V1-CLOSURE.md 和矩阵 COL-004。
逐条验收：执行中 3。</x:v>
      </x:c>
    </x:row>
    <x:row r="19" ht="107" hidden="0" customHeight="1">
      <x:c r="A19" s="16" t="str">
        <x:v>COL-005</x:v>
      </x:c>
      <x:c r="B19" s="16" t="str">
        <x:v>配置平台凭据和内部服务密钥</x:v>
      </x:c>
      <x:c r="C19" s="16" t="str">
        <x:v>来源与增量发现</x:v>
      </x:c>
      <x:c r="D19" s="22" t="str">
        <x:v>P0</x:v>
      </x:c>
      <x:c r="E19" s="22" t="str">
        <x:v>M1</x:v>
      </x:c>
      <x:c r="F19" s="16" t="str">
        <x:v>安全后端/运维</x:v>
      </x:c>
      <x:c r="G19" s="19" t="str">
        <x:v>loom-media</x:v>
      </x:c>
      <x:c r="H19" s="19" t="str">
        <x:v>待验收</x:v>
      </x:c>
      <x:c r="I19" s="24" t="n">
        <x:v>1.5</x:v>
      </x:c>
      <x:c r="J19" s="25" t="str">
        <x:v>COL-002, COL-004</x:v>
      </x:c>
      <x:c r="K19" s="25" t="n">
        <x:f>2-SUM(COUNTIFS('开发任务'!$A$7:$A$113,"COL-002",'开发任务'!$H$7:$H$113,"已完成"),COUNTIFS('开发任务'!$A$7:$A$113,"COL-004",'开发任务'!$H$7:$H$113,"已完成"))</x:f>
        <x:v>2</x:v>
      </x:c>
      <x:c r="L19" s="16" t="str">
        <x:f>IF(H19="已完成","已完成",IF(D19="P2","后续规划",IF(H19="阻塞","处理阻塞",IF(H19="暂停","已暂停",IF(K19&gt;0,"等待依赖",IF(G19="","待指派",IF(H19="待验收","待验收","可推进")))))))</x:f>
        <x:v>等待依赖</x:v>
      </x:c>
      <x:c r="M19" s="16" t="str">
        <x:v>R02 R21</x:v>
      </x:c>
      <x:c r="N19" s="21"/>
      <x:c r="O19" s="21"/>
      <x:c r="P19" s="19" t="str"/>
      <x:c r="Q19" s="19" t="str">
        <x:v>【执行记录】
自身工程实现及范围化执行证据已核验（应用源码 ff03a18）；不等于原整项验收及依赖已签收。
原直接依赖未签收：COL-002, COL-004。这是验收依赖，不是未实现代码清单。
本任务证据、执行范围与边界见 V1-CLOSURE.md 和矩阵 COL-005。
逐条验收：执行中 3。</x:v>
      </x:c>
    </x:row>
    <x:row r="20" ht="107" hidden="0" customHeight="1">
      <x:c r="A20" s="18" t="str">
        <x:v>COL-006</x:v>
      </x:c>
      <x:c r="B20" s="18" t="str">
        <x:v>实现受信DTK内部REST适配器</x:v>
      </x:c>
      <x:c r="C20" s="18" t="str">
        <x:v>来源与增量发现</x:v>
      </x:c>
      <x:c r="D20" s="23" t="str">
        <x:v>P0</x:v>
      </x:c>
      <x:c r="E20" s="23" t="str">
        <x:v>M1</x:v>
      </x:c>
      <x:c r="F20" s="18" t="str">
        <x:v>Loom采集后端</x:v>
      </x:c>
      <x:c r="G20" s="19" t="str">
        <x:v>loom-media</x:v>
      </x:c>
      <x:c r="H20" s="19" t="str">
        <x:v>待验收</x:v>
      </x:c>
      <x:c r="I20" s="24" t="n">
        <x:v>1.5</x:v>
      </x:c>
      <x:c r="J20" s="26" t="str">
        <x:v>COL-001, COL-002, COL-005, FND-005</x:v>
      </x:c>
      <x:c r="K20" s="26" t="n">
        <x:f>4-SUM(COUNTIFS('开发任务'!$A$7:$A$113,"COL-001",'开发任务'!$H$7:$H$113,"已完成"),COUNTIFS('开发任务'!$A$7:$A$113,"COL-002",'开发任务'!$H$7:$H$113,"已完成"),COUNTIFS('开发任务'!$A$7:$A$113,"COL-005",'开发任务'!$H$7:$H$113,"已完成"),COUNTIFS('开发任务'!$A$7:$A$113,"FND-005",'开发任务'!$H$7:$H$113,"已完成"))</x:f>
        <x:v>3</x:v>
      </x:c>
      <x:c r="L20" s="18" t="str">
        <x:f>IF(H20="已完成","已完成",IF(D20="P2","后续规划",IF(H20="阻塞","处理阻塞",IF(H20="暂停","已暂停",IF(K20&gt;0,"等待依赖",IF(G20="","待指派",IF(H20="待验收","待验收","可推进")))))))</x:f>
        <x:v>等待依赖</x:v>
      </x:c>
      <x:c r="M20" s="18" t="str">
        <x:v>R06 R22</x:v>
      </x:c>
      <x:c r="N20" s="21"/>
      <x:c r="O20" s="21"/>
      <x:c r="P20" s="19" t="str"/>
      <x:c r="Q20" s="19" t="str">
        <x:v>【执行记录】
自身工程实现及范围化执行证据已核验（应用源码 ff03a18）；不等于原整项验收及依赖已签收。
原直接依赖未签收：COL-002, COL-005, FND-005。这是验收依赖，不是未实现代码清单。
本任务证据、执行范围与边界见 V1-CLOSURE.md 和矩阵 COL-006。
逐条验收：执行中 3。</x:v>
      </x:c>
    </x:row>
    <x:row r="21" ht="107" hidden="0" customHeight="1">
      <x:c r="A21" s="16" t="str">
        <x:v>COL-007</x:v>
      </x:c>
      <x:c r="B21" s="16" t="str">
        <x:v>归一化B站与抖音元数据</x:v>
      </x:c>
      <x:c r="C21" s="16" t="str">
        <x:v>来源与增量发现</x:v>
      </x:c>
      <x:c r="D21" s="22" t="str">
        <x:v>P0</x:v>
      </x:c>
      <x:c r="E21" s="22" t="str">
        <x:v>M1</x:v>
      </x:c>
      <x:c r="F21" s="16" t="str">
        <x:v>采集后端</x:v>
      </x:c>
      <x:c r="G21" s="19" t="str">
        <x:v>loom-media</x:v>
      </x:c>
      <x:c r="H21" s="19" t="str">
        <x:v>待验收</x:v>
      </x:c>
      <x:c r="I21" s="24" t="n">
        <x:v>1</x:v>
      </x:c>
      <x:c r="J21" s="25" t="str">
        <x:v>COL-006</x:v>
      </x:c>
      <x:c r="K21" s="25" t="n">
        <x:f>1-SUM(COUNTIFS('开发任务'!$A$7:$A$113,"COL-006",'开发任务'!$H$7:$H$113,"已完成"))</x:f>
        <x:v>1</x:v>
      </x:c>
      <x:c r="L21" s="16" t="str">
        <x:f>IF(H21="已完成","已完成",IF(D21="P2","后续规划",IF(H21="阻塞","处理阻塞",IF(H21="暂停","已暂停",IF(K21&gt;0,"等待依赖",IF(G21="","待指派",IF(H21="待验收","待验收","可推进")))))))</x:f>
        <x:v>等待依赖</x:v>
      </x:c>
      <x:c r="M21" s="16" t="str">
        <x:v>R02 R04</x:v>
      </x:c>
      <x:c r="N21" s="21"/>
      <x:c r="O21" s="21"/>
      <x:c r="P21" s="19" t="str"/>
      <x:c r="Q21" s="19" t="str">
        <x:v>【执行记录】
自身工程实现及范围化执行证据已核验（应用源码 ff03a18）；不等于原整项验收及依赖已签收。
原直接依赖未签收：COL-006。这是验收依赖，不是未实现代码清单。
本任务证据、执行范围与边界见 V1-CLOSURE.md 和矩阵 COL-007。
逐条验收：执行中 3。</x:v>
      </x:c>
    </x:row>
    <x:row r="22" ht="107" hidden="0" customHeight="1">
      <x:c r="A22" s="18" t="str">
        <x:v>COL-008</x:v>
      </x:c>
      <x:c r="B22" s="18" t="str">
        <x:v>完成单视频发现与显式导入</x:v>
      </x:c>
      <x:c r="C22" s="18" t="str">
        <x:v>来源与增量发现</x:v>
      </x:c>
      <x:c r="D22" s="23" t="str">
        <x:v>P0</x:v>
      </x:c>
      <x:c r="E22" s="23" t="str">
        <x:v>M1</x:v>
      </x:c>
      <x:c r="F22" s="18" t="str">
        <x:v>采集后端</x:v>
      </x:c>
      <x:c r="G22" s="19" t="str">
        <x:v>loom-media</x:v>
      </x:c>
      <x:c r="H22" s="19" t="str">
        <x:v>待验收</x:v>
      </x:c>
      <x:c r="I22" s="24" t="n">
        <x:v>0.75</x:v>
      </x:c>
      <x:c r="J22" s="26" t="str">
        <x:v>COL-004, COL-007</x:v>
      </x:c>
      <x:c r="K22" s="26" t="n">
        <x:f>2-SUM(COUNTIFS('开发任务'!$A$7:$A$113,"COL-004",'开发任务'!$H$7:$H$113,"已完成"),COUNTIFS('开发任务'!$A$7:$A$113,"COL-007",'开发任务'!$H$7:$H$113,"已完成"))</x:f>
        <x:v>2</x:v>
      </x:c>
      <x:c r="L22" s="18" t="str">
        <x:f>IF(H22="已完成","已完成",IF(D22="P2","后续规划",IF(H22="阻塞","处理阻塞",IF(H22="暂停","已暂停",IF(K22&gt;0,"等待依赖",IF(G22="","待指派",IF(H22="待验收","待验收","可推进")))))))</x:f>
        <x:v>等待依赖</x:v>
      </x:c>
      <x:c r="M22" s="18" t="str">
        <x:v>R02 R05</x:v>
      </x:c>
      <x:c r="N22" s="21"/>
      <x:c r="O22" s="21"/>
      <x:c r="P22" s="19" t="str"/>
      <x:c r="Q22" s="19" t="str">
        <x:v>【执行记录】
自身工程实现及范围化执行证据已核验（应用源码 ff03a18）；不等于原整项验收及依赖已签收。
原直接依赖未签收：COL-004, COL-007。这是验收依赖，不是未实现代码清单。
本任务证据、执行范围与边界见 V1-CLOSURE.md 和矩阵 COL-008。
逐条验收：执行中 3。</x:v>
      </x:c>
    </x:row>
    <x:row r="23" ht="107" hidden="0" customHeight="1">
      <x:c r="A23" s="16" t="str">
        <x:v>COL-009</x:v>
      </x:c>
      <x:c r="B23" s="16" t="str">
        <x:v>实现作者增量发现与有界分页</x:v>
      </x:c>
      <x:c r="C23" s="16" t="str">
        <x:v>来源与增量发现</x:v>
      </x:c>
      <x:c r="D23" s="22" t="str">
        <x:v>P0</x:v>
      </x:c>
      <x:c r="E23" s="22" t="str">
        <x:v>M1</x:v>
      </x:c>
      <x:c r="F23" s="16" t="str">
        <x:v>采集后端</x:v>
      </x:c>
      <x:c r="G23" s="19" t="str">
        <x:v>loom-media</x:v>
      </x:c>
      <x:c r="H23" s="19" t="str">
        <x:v>待验收</x:v>
      </x:c>
      <x:c r="I23" s="24" t="n">
        <x:v>1.5</x:v>
      </x:c>
      <x:c r="J23" s="25" t="str">
        <x:v>COL-004, COL-007</x:v>
      </x:c>
      <x:c r="K23" s="25" t="n">
        <x:f>2-SUM(COUNTIFS('开发任务'!$A$7:$A$113,"COL-004",'开发任务'!$H$7:$H$113,"已完成"),COUNTIFS('开发任务'!$A$7:$A$113,"COL-007",'开发任务'!$H$7:$H$113,"已完成"))</x:f>
        <x:v>2</x:v>
      </x:c>
      <x:c r="L23" s="16" t="str">
        <x:f>IF(H23="已完成","已完成",IF(D23="P2","后续规划",IF(H23="阻塞","处理阻塞",IF(H23="暂停","已暂停",IF(K23&gt;0,"等待依赖",IF(G23="","待指派",IF(H23="待验收","待验收","可推进")))))))</x:f>
        <x:v>等待依赖</x:v>
      </x:c>
      <x:c r="M23" s="16" t="str">
        <x:v>R04</x:v>
      </x:c>
      <x:c r="N23" s="21"/>
      <x:c r="O23" s="21"/>
      <x:c r="P23" s="19" t="str"/>
      <x:c r="Q23" s="19" t="str">
        <x:v>【执行记录】
自身工程实现及范围化执行证据已核验（应用源码 ff03a18）；不等于原整项验收及依赖已签收。
原直接依赖未签收：COL-004, COL-007。这是验收依赖，不是未实现代码清单。
本任务证据、执行范围与边界见 V1-CLOSURE.md 和矩阵 COL-009。
逐条验收：执行中 3。</x:v>
      </x:c>
    </x:row>
    <x:row r="24" ht="107" hidden="0" customHeight="1">
      <x:c r="A24" s="18" t="str">
        <x:v>COL-010</x:v>
      </x:c>
      <x:c r="B24" s="18" t="str">
        <x:v>实现发现结果、任务与游标原子提交</x:v>
      </x:c>
      <x:c r="C24" s="18" t="str">
        <x:v>来源与增量发现</x:v>
      </x:c>
      <x:c r="D24" s="23" t="str">
        <x:v>P0</x:v>
      </x:c>
      <x:c r="E24" s="23" t="str">
        <x:v>M1</x:v>
      </x:c>
      <x:c r="F24" s="18" t="str">
        <x:v>数据库/采集后端</x:v>
      </x:c>
      <x:c r="G24" s="19" t="str">
        <x:v>loom-media</x:v>
      </x:c>
      <x:c r="H24" s="19" t="str">
        <x:v>待验收</x:v>
      </x:c>
      <x:c r="I24" s="24" t="n">
        <x:v>2.25</x:v>
      </x:c>
      <x:c r="J24" s="26" t="str">
        <x:v>COL-003, COL-009</x:v>
      </x:c>
      <x:c r="K24" s="26" t="n">
        <x:f>2-SUM(COUNTIFS('开发任务'!$A$7:$A$113,"COL-003",'开发任务'!$H$7:$H$113,"已完成"),COUNTIFS('开发任务'!$A$7:$A$113,"COL-009",'开发任务'!$H$7:$H$113,"已完成"))</x:f>
        <x:v>2</x:v>
      </x:c>
      <x:c r="L24" s="18" t="str">
        <x:f>IF(H24="已完成","已完成",IF(D24="P2","后续规划",IF(H24="阻塞","处理阻塞",IF(H24="暂停","已暂停",IF(K24&gt;0,"等待依赖",IF(G24="","待指派",IF(H24="待验收","待验收","可推进")))))))</x:f>
        <x:v>等待依赖</x:v>
      </x:c>
      <x:c r="M24" s="18" t="str">
        <x:v>R04 R05</x:v>
      </x:c>
      <x:c r="N24" s="21"/>
      <x:c r="O24" s="21"/>
      <x:c r="P24" s="19" t="str"/>
      <x:c r="Q24" s="19" t="str">
        <x:v>【执行记录】
自身工程实现及范围化执行证据已核验（应用源码 ff03a18）；不等于原整项验收及依赖已签收。
原直接依赖未签收：COL-003, COL-009。这是验收依赖，不是未实现代码清单。
本任务证据、执行范围与边界见 V1-CLOSURE.md 和矩阵 COL-010。
逐条验收：执行中 3。</x:v>
      </x:c>
    </x:row>
    <x:row r="25" ht="107" hidden="0" customHeight="1">
      <x:c r="A25" s="16" t="str">
        <x:v>COL-011</x:v>
      </x:c>
      <x:c r="B25" s="16" t="str">
        <x:v>复用Loom唯一调度与授予检查</x:v>
      </x:c>
      <x:c r="C25" s="16" t="str">
        <x:v>来源与增量发现</x:v>
      </x:c>
      <x:c r="D25" s="22" t="str">
        <x:v>P0</x:v>
      </x:c>
      <x:c r="E25" s="22" t="str">
        <x:v>M1</x:v>
      </x:c>
      <x:c r="F25" s="16" t="str">
        <x:v>Loom后端</x:v>
      </x:c>
      <x:c r="G25" s="19" t="str">
        <x:v>loom-media</x:v>
      </x:c>
      <x:c r="H25" s="19" t="str">
        <x:v>待验收</x:v>
      </x:c>
      <x:c r="I25" s="24" t="n">
        <x:v>1.5</x:v>
      </x:c>
      <x:c r="J25" s="25" t="str">
        <x:v>COL-004, COL-010</x:v>
      </x:c>
      <x:c r="K25" s="25" t="n">
        <x:f>2-SUM(COUNTIFS('开发任务'!$A$7:$A$113,"COL-004",'开发任务'!$H$7:$H$113,"已完成"),COUNTIFS('开发任务'!$A$7:$A$113,"COL-010",'开发任务'!$H$7:$H$113,"已完成"))</x:f>
        <x:v>2</x:v>
      </x:c>
      <x:c r="L25" s="16" t="str">
        <x:f>IF(H25="已完成","已完成",IF(D25="P2","后续规划",IF(H25="阻塞","处理阻塞",IF(H25="暂停","已暂停",IF(K25&gt;0,"等待依赖",IF(G25="","待指派",IF(H25="待验收","待验收","可推进")))))))</x:f>
        <x:v>等待依赖</x:v>
      </x:c>
      <x:c r="M25" s="16" t="str">
        <x:v>R03 R21</x:v>
      </x:c>
      <x:c r="N25" s="21"/>
      <x:c r="O25" s="21"/>
      <x:c r="P25" s="19" t="str"/>
      <x:c r="Q25" s="19" t="str">
        <x:v>【执行记录】
自身工程实现及范围化执行证据已核验（应用源码 ff03a18）；不等于原整项验收及依赖已签收。
原直接依赖未签收：COL-004, COL-010。这是验收依赖，不是未实现代码清单。
本任务证据、执行范围与边界见 V1-CLOSURE.md 和矩阵 COL-011。
逐条验收：执行中 3。</x:v>
      </x:c>
    </x:row>
    <x:row r="26" ht="107" hidden="0" customHeight="1">
      <x:c r="A26" s="18" t="str">
        <x:v>COL-012</x:v>
      </x:c>
      <x:c r="B26" s="18" t="str">
        <x:v>实现video job阶段状态与外部映射</x:v>
      </x:c>
      <x:c r="C26" s="18" t="str">
        <x:v>媒体任务与持续调度</x:v>
      </x:c>
      <x:c r="D26" s="23" t="str">
        <x:v>P0</x:v>
      </x:c>
      <x:c r="E26" s="23" t="str">
        <x:v>M1</x:v>
      </x:c>
      <x:c r="F26" s="18" t="str">
        <x:v>Loom后端</x:v>
      </x:c>
      <x:c r="G26" s="19" t="str">
        <x:v>loom-media</x:v>
      </x:c>
      <x:c r="H26" s="19" t="str">
        <x:v>待验收</x:v>
      </x:c>
      <x:c r="I26" s="24" t="n">
        <x:v>2.25</x:v>
      </x:c>
      <x:c r="J26" s="26" t="str">
        <x:v>COL-003, COL-008, COL-010</x:v>
      </x:c>
      <x:c r="K26" s="26" t="n">
        <x:f>3-SUM(COUNTIFS('开发任务'!$A$7:$A$113,"COL-003",'开发任务'!$H$7:$H$113,"已完成"),COUNTIFS('开发任务'!$A$7:$A$113,"COL-008",'开发任务'!$H$7:$H$113,"已完成"),COUNTIFS('开发任务'!$A$7:$A$113,"COL-010",'开发任务'!$H$7:$H$113,"已完成"))</x:f>
        <x:v>3</x:v>
      </x:c>
      <x:c r="L26" s="18" t="str">
        <x:f>IF(H26="已完成","已完成",IF(D26="P2","后续规划",IF(H26="阻塞","处理阻塞",IF(H26="暂停","已暂停",IF(K26&gt;0,"等待依赖",IF(G26="","待指派",IF(H26="待验收","待验收","可推进")))))))</x:f>
        <x:v>等待依赖</x:v>
      </x:c>
      <x:c r="M26" s="18" t="str">
        <x:v>R05 R23</x:v>
      </x:c>
      <x:c r="N26" s="21"/>
      <x:c r="O26" s="21"/>
      <x:c r="P26" s="19" t="str"/>
      <x:c r="Q26" s="19" t="str">
        <x:v>【执行记录】
自身工程实现及范围化执行证据已核验（应用源码 ff03a18）；不等于原整项验收及依赖已签收。
原直接依赖未签收：COL-003, COL-008, COL-010。这是验收依赖，不是未实现代码清单。
本任务证据、执行范围与边界见 V1-CLOSURE.md 和矩阵 COL-012。
逐条验收：执行中 3。</x:v>
      </x:c>
    </x:row>
    <x:row r="27" ht="107" hidden="0" customHeight="1">
      <x:c r="A27" s="16" t="str">
        <x:v>COL-013</x:v>
      </x:c>
      <x:c r="B27" s="16" t="str">
        <x:v>实现下载提交幂等与结果不明处理</x:v>
      </x:c>
      <x:c r="C27" s="16" t="str">
        <x:v>媒体任务与持续调度</x:v>
      </x:c>
      <x:c r="D27" s="22" t="str">
        <x:v>P0</x:v>
      </x:c>
      <x:c r="E27" s="22" t="str">
        <x:v>M1</x:v>
      </x:c>
      <x:c r="F27" s="16" t="str">
        <x:v>采集后端</x:v>
      </x:c>
      <x:c r="G27" s="19" t="str">
        <x:v>loom-media</x:v>
      </x:c>
      <x:c r="H27" s="19" t="str">
        <x:v>待验收</x:v>
      </x:c>
      <x:c r="I27" s="24" t="n">
        <x:v>2.25</x:v>
      </x:c>
      <x:c r="J27" s="25" t="str">
        <x:v>COL-006, COL-012</x:v>
      </x:c>
      <x:c r="K27" s="25" t="n">
        <x:f>2-SUM(COUNTIFS('开发任务'!$A$7:$A$113,"COL-006",'开发任务'!$H$7:$H$113,"已完成"),COUNTIFS('开发任务'!$A$7:$A$113,"COL-012",'开发任务'!$H$7:$H$113,"已完成"))</x:f>
        <x:v>2</x:v>
      </x:c>
      <x:c r="L27" s="16" t="str">
        <x:f>IF(H27="已完成","已完成",IF(D27="P2","后续规划",IF(H27="阻塞","处理阻塞",IF(H27="暂停","已暂停",IF(K27&gt;0,"等待依赖",IF(G27="","待指派",IF(H27="待验收","待验收","可推进")))))))</x:f>
        <x:v>等待依赖</x:v>
      </x:c>
      <x:c r="M27" s="16" t="str">
        <x:v>R05 R23</x:v>
      </x:c>
      <x:c r="N27" s="21"/>
      <x:c r="O27" s="21"/>
      <x:c r="P27" s="19" t="str"/>
      <x:c r="Q27" s="19" t="str">
        <x:v>【执行记录】
自身工程实现及范围化执行证据已核验（应用源码 ff03a18）；不等于原整项验收及依赖已签收。
原直接依赖未签收：COL-006, COL-012。这是验收依赖，不是未实现代码清单。
本任务证据、执行范围与边界见 V1-CLOSURE.md 和矩阵 COL-013。
逐条验收：执行中 4。</x:v>
      </x:c>
    </x:row>
    <x:row r="28" ht="107" hidden="0" customHeight="1">
      <x:c r="A28" s="18" t="str">
        <x:v>COL-014</x:v>
      </x:c>
      <x:c r="B28" s="18" t="str">
        <x:v>实现外部任务轮询与短调用返回</x:v>
      </x:c>
      <x:c r="C28" s="18" t="str">
        <x:v>媒体任务与持续调度</x:v>
      </x:c>
      <x:c r="D28" s="23" t="str">
        <x:v>P0</x:v>
      </x:c>
      <x:c r="E28" s="23" t="str">
        <x:v>M1</x:v>
      </x:c>
      <x:c r="F28" s="18" t="str">
        <x:v>Loom后端</x:v>
      </x:c>
      <x:c r="G28" s="19" t="str">
        <x:v>loom-media</x:v>
      </x:c>
      <x:c r="H28" s="19" t="str">
        <x:v>待验收</x:v>
      </x:c>
      <x:c r="I28" s="24" t="n">
        <x:v>1.5</x:v>
      </x:c>
      <x:c r="J28" s="26" t="str">
        <x:v>COL-012, COL-013</x:v>
      </x:c>
      <x:c r="K28" s="26" t="n">
        <x:f>2-SUM(COUNTIFS('开发任务'!$A$7:$A$113,"COL-012",'开发任务'!$H$7:$H$113,"已完成"),COUNTIFS('开发任务'!$A$7:$A$113,"COL-013",'开发任务'!$H$7:$H$113,"已完成"))</x:f>
        <x:v>2</x:v>
      </x:c>
      <x:c r="L28" s="18" t="str">
        <x:f>IF(H28="已完成","已完成",IF(D28="P2","后续规划",IF(H28="阻塞","处理阻塞",IF(H28="暂停","已暂停",IF(K28&gt;0,"等待依赖",IF(G28="","待指派",IF(H28="待验收","待验收","可推进")))))))</x:f>
        <x:v>等待依赖</x:v>
      </x:c>
      <x:c r="M28" s="18" t="str">
        <x:v>R05 R17</x:v>
      </x:c>
      <x:c r="N28" s="21"/>
      <x:c r="O28" s="21"/>
      <x:c r="P28" s="19" t="str"/>
      <x:c r="Q28" s="19" t="str">
        <x:v>【执行记录】
自身工程实现及范围化执行证据已核验（应用源码 ff03a18）；不等于原整项验收及依赖已签收。
原直接依赖未签收：COL-012, COL-013。这是验收依赖，不是未实现代码清单。
本任务证据、执行范围与边界见 V1-CLOSURE.md 和矩阵 COL-014。
逐条验收：执行中 3。</x:v>
      </x:c>
    </x:row>
    <x:row r="29" ht="107" hidden="0" customHeight="1">
      <x:c r="A29" s="16" t="str">
        <x:v>COL-015</x:v>
      </x:c>
      <x:c r="B29" s="16" t="str">
        <x:v>将下载媒体流式导入现有对象存储</x:v>
      </x:c>
      <x:c r="C29" s="16" t="str">
        <x:v>媒体任务与持续调度</x:v>
      </x:c>
      <x:c r="D29" s="22" t="str">
        <x:v>P0</x:v>
      </x:c>
      <x:c r="E29" s="22" t="str">
        <x:v>M1</x:v>
      </x:c>
      <x:c r="F29" s="16" t="str">
        <x:v>媒体后端</x:v>
      </x:c>
      <x:c r="G29" s="19" t="str">
        <x:v>loom-media</x:v>
      </x:c>
      <x:c r="H29" s="19" t="str">
        <x:v>待验收</x:v>
      </x:c>
      <x:c r="I29" s="24" t="n">
        <x:v>2.25</x:v>
      </x:c>
      <x:c r="J29" s="25" t="str">
        <x:v>COL-006, COL-012, COL-014, COL-016</x:v>
      </x:c>
      <x:c r="K29" s="25" t="n">
        <x:f>4-SUM(COUNTIFS('开发任务'!$A$7:$A$113,"COL-006",'开发任务'!$H$7:$H$113,"已完成"),COUNTIFS('开发任务'!$A$7:$A$113,"COL-012",'开发任务'!$H$7:$H$113,"已完成"),COUNTIFS('开发任务'!$A$7:$A$113,"COL-014",'开发任务'!$H$7:$H$113,"已完成"),COUNTIFS('开发任务'!$A$7:$A$113,"COL-016",'开发任务'!$H$7:$H$113,"已完成"))</x:f>
        <x:v>4</x:v>
      </x:c>
      <x:c r="L29" s="16" t="str">
        <x:f>IF(H29="已完成","已完成",IF(D29="P2","后续规划",IF(H29="阻塞","处理阻塞",IF(H29="暂停","已暂停",IF(K29&gt;0,"等待依赖",IF(G29="","待指派",IF(H29="待验收","待验收","可推进")))))))</x:f>
        <x:v>等待依赖</x:v>
      </x:c>
      <x:c r="M29" s="16" t="str">
        <x:v>R06 R22</x:v>
      </x:c>
      <x:c r="N29" s="21"/>
      <x:c r="O29" s="21"/>
      <x:c r="P29" s="19" t="str"/>
      <x:c r="Q29" s="19" t="str">
        <x:v>【执行记录】
自身工程实现及范围化执行证据已核验（应用源码 ff03a18）；不等于原整项验收及依赖已签收。
原直接依赖未签收：COL-006, COL-012, COL-014, COL-016。这是验收依赖，不是未实现代码清单。
本任务证据、执行范围与边界见 V1-CLOSURE.md 和矩阵 COL-015。
逐条验收：执行中 3。</x:v>
      </x:c>
    </x:row>
    <x:row r="30" ht="107" hidden="0" customHeight="1">
      <x:c r="A30" s="18" t="str">
        <x:v>COL-016</x:v>
      </x:c>
      <x:c r="B30" s="18" t="str">
        <x:v>推广scope媒体对象键并保留访问防护</x:v>
      </x:c>
      <x:c r="C30" s="18" t="str">
        <x:v>媒体任务与持续调度</x:v>
      </x:c>
      <x:c r="D30" s="23" t="str">
        <x:v>P0</x:v>
      </x:c>
      <x:c r="E30" s="23" t="str">
        <x:v>M1</x:v>
      </x:c>
      <x:c r="F30" s="18" t="str">
        <x:v>安全/媒体后端</x:v>
      </x:c>
      <x:c r="G30" s="19" t="str">
        <x:v>loom-media</x:v>
      </x:c>
      <x:c r="H30" s="19" t="str">
        <x:v>待验收</x:v>
      </x:c>
      <x:c r="I30" s="24" t="n">
        <x:v>1.5</x:v>
      </x:c>
      <x:c r="J30" s="26" t="str">
        <x:v>COL-002, COL-003, K-003</x:v>
      </x:c>
      <x:c r="K30" s="26" t="n">
        <x:f>3-SUM(COUNTIFS('开发任务'!$A$7:$A$113,"COL-002",'开发任务'!$H$7:$H$113,"已完成"),COUNTIFS('开发任务'!$A$7:$A$113,"COL-003",'开发任务'!$H$7:$H$113,"已完成"),COUNTIFS('开发任务'!$A$7:$A$113,"K-003",'开发任务'!$H$7:$H$113,"已完成"))</x:f>
        <x:v>3</x:v>
      </x:c>
      <x:c r="L30" s="18" t="str">
        <x:f>IF(H30="已完成","已完成",IF(D30="P2","后续规划",IF(H30="阻塞","处理阻塞",IF(H30="暂停","已暂停",IF(K30&gt;0,"等待依赖",IF(G30="","待指派",IF(H30="待验收","待验收","可推进")))))))</x:f>
        <x:v>等待依赖</x:v>
      </x:c>
      <x:c r="M30" s="18" t="str">
        <x:v>R06 R21</x:v>
      </x:c>
      <x:c r="N30" s="21"/>
      <x:c r="O30" s="21"/>
      <x:c r="P30" s="19" t="str"/>
      <x:c r="Q30" s="19" t="str">
        <x:v>【执行记录】
自身工程实现及范围化执行证据已核验（应用源码 ff03a18）；不等于原整项验收及依赖已签收。
原直接依赖未签收：COL-002, COL-003, K-003。这是验收依赖，不是未实现代码清单。
本任务证据、执行范围与边界见 V1-CLOSURE.md 和矩阵 COL-016。
逐条验收：执行中 3。</x:v>
      </x:c>
    </x:row>
    <x:row r="31" ht="107" hidden="0" customHeight="1">
      <x:c r="A31" s="16" t="str">
        <x:v>COL-017</x:v>
      </x:c>
      <x:c r="B31" s="16" t="str">
        <x:v>为长阶段作业实现claim/heartbeat/fencing</x:v>
      </x:c>
      <x:c r="C31" s="16" t="str">
        <x:v>媒体任务与持续调度</x:v>
      </x:c>
      <x:c r="D31" s="22" t="str">
        <x:v>P0</x:v>
      </x:c>
      <x:c r="E31" s="22" t="str">
        <x:v>M1</x:v>
      </x:c>
      <x:c r="F31" s="16" t="str">
        <x:v>Loom后端</x:v>
      </x:c>
      <x:c r="G31" s="19" t="str">
        <x:v>loom-media</x:v>
      </x:c>
      <x:c r="H31" s="19" t="str">
        <x:v>待验收</x:v>
      </x:c>
      <x:c r="I31" s="24" t="n">
        <x:v>2.25</x:v>
      </x:c>
      <x:c r="J31" s="25" t="str">
        <x:v>COL-012, COL-014</x:v>
      </x:c>
      <x:c r="K31" s="25" t="n">
        <x:f>2-SUM(COUNTIFS('开发任务'!$A$7:$A$113,"COL-012",'开发任务'!$H$7:$H$113,"已完成"),COUNTIFS('开发任务'!$A$7:$A$113,"COL-014",'开发任务'!$H$7:$H$113,"已完成"))</x:f>
        <x:v>2</x:v>
      </x:c>
      <x:c r="L31" s="16" t="str">
        <x:f>IF(H31="已完成","已完成",IF(D31="P2","后续规划",IF(H31="阻塞","处理阻塞",IF(H31="暂停","已暂停",IF(K31&gt;0,"等待依赖",IF(G31="","待指派",IF(H31="待验收","待验收","可推进")))))))</x:f>
        <x:v>等待依赖</x:v>
      </x:c>
      <x:c r="M31" s="16" t="str">
        <x:v>R05 R23</x:v>
      </x:c>
      <x:c r="N31" s="21"/>
      <x:c r="O31" s="21"/>
      <x:c r="P31" s="19" t="str"/>
      <x:c r="Q31" s="19" t="str">
        <x:v>【执行记录】
自身工程实现及范围化执行证据已核验（应用源码 ff03a18）；不等于原整项验收及依赖已签收。
原直接依赖未签收：COL-012, COL-014。这是验收依赖，不是未实现代码清单。
本任务证据、执行范围与边界见 V1-CLOSURE.md 和矩阵 COL-017。
逐条验收：执行中 3。</x:v>
      </x:c>
    </x:row>
    <x:row r="32" ht="107" hidden="0" customHeight="1">
      <x:c r="A32" s="18" t="str">
        <x:v>COL-018</x:v>
      </x:c>
      <x:c r="B32" s="18" t="str">
        <x:v>统一provider错误、退避和熔断</x:v>
      </x:c>
      <x:c r="C32" s="18" t="str">
        <x:v>媒体任务与持续调度</x:v>
      </x:c>
      <x:c r="D32" s="23" t="str">
        <x:v>P0</x:v>
      </x:c>
      <x:c r="E32" s="23" t="str">
        <x:v>M1</x:v>
      </x:c>
      <x:c r="F32" s="18" t="str">
        <x:v>采集后端</x:v>
      </x:c>
      <x:c r="G32" s="19" t="str">
        <x:v>loom-media</x:v>
      </x:c>
      <x:c r="H32" s="19" t="str">
        <x:v>待验收</x:v>
      </x:c>
      <x:c r="I32" s="24" t="n">
        <x:v>1.5</x:v>
      </x:c>
      <x:c r="J32" s="26" t="str">
        <x:v>COL-006, COL-014, COL-017</x:v>
      </x:c>
      <x:c r="K32" s="26" t="n">
        <x:f>3-SUM(COUNTIFS('开发任务'!$A$7:$A$113,"COL-006",'开发任务'!$H$7:$H$113,"已完成"),COUNTIFS('开发任务'!$A$7:$A$113,"COL-014",'开发任务'!$H$7:$H$113,"已完成"),COUNTIFS('开发任务'!$A$7:$A$113,"COL-017",'开发任务'!$H$7:$H$113,"已完成"))</x:f>
        <x:v>3</x:v>
      </x:c>
      <x:c r="L32" s="18" t="str">
        <x:f>IF(H32="已完成","已完成",IF(D32="P2","后续规划",IF(H32="阻塞","处理阻塞",IF(H32="暂停","已暂停",IF(K32&gt;0,"等待依赖",IF(G32="","待指派",IF(H32="待验收","待验收","可推进")))))))</x:f>
        <x:v>等待依赖</x:v>
      </x:c>
      <x:c r="M32" s="18" t="str">
        <x:v>R23</x:v>
      </x:c>
      <x:c r="N32" s="21"/>
      <x:c r="O32" s="21"/>
      <x:c r="P32" s="19" t="str"/>
      <x:c r="Q32" s="19" t="str">
        <x:v>【执行记录】
自身工程实现及范围化执行证据已核验（应用源码 ff03a18）；不等于原整项验收及依赖已签收。
原直接依赖未签收：COL-006, COL-014, COL-017。这是验收依赖，不是未实现代码清单。
本任务证据、执行范围与边界见 V1-CLOSURE.md 和矩阵 COL-018。
逐条验收：执行中 3。</x:v>
      </x:c>
    </x:row>
    <x:row r="33" ht="107" hidden="0" customHeight="1">
      <x:c r="A33" s="16" t="str">
        <x:v>COL-019</x:v>
      </x:c>
      <x:c r="B33" s="16" t="str">
        <x:v>取消、恢复和不确定结果对账</x:v>
      </x:c>
      <x:c r="C33" s="16" t="str">
        <x:v>媒体任务与持续调度</x:v>
      </x:c>
      <x:c r="D33" s="22" t="str">
        <x:v>P0</x:v>
      </x:c>
      <x:c r="E33" s="22" t="str">
        <x:v>M1</x:v>
      </x:c>
      <x:c r="F33" s="16" t="str">
        <x:v>Loom后端</x:v>
      </x:c>
      <x:c r="G33" s="19" t="str">
        <x:v>loom-media</x:v>
      </x:c>
      <x:c r="H33" s="19" t="str">
        <x:v>待验收</x:v>
      </x:c>
      <x:c r="I33" s="24" t="n">
        <x:v>2.25</x:v>
      </x:c>
      <x:c r="J33" s="25" t="str">
        <x:v>COL-013, COL-014, COL-017, COL-018</x:v>
      </x:c>
      <x:c r="K33" s="25" t="n">
        <x:f>4-SUM(COUNTIFS('开发任务'!$A$7:$A$113,"COL-013",'开发任务'!$H$7:$H$113,"已完成"),COUNTIFS('开发任务'!$A$7:$A$113,"COL-014",'开发任务'!$H$7:$H$113,"已完成"),COUNTIFS('开发任务'!$A$7:$A$113,"COL-017",'开发任务'!$H$7:$H$113,"已完成"),COUNTIFS('开发任务'!$A$7:$A$113,"COL-018",'开发任务'!$H$7:$H$113,"已完成"))</x:f>
        <x:v>4</x:v>
      </x:c>
      <x:c r="L33" s="16" t="str">
        <x:f>IF(H33="已完成","已完成",IF(D33="P2","后续规划",IF(H33="阻塞","处理阻塞",IF(H33="暂停","已暂停",IF(K33&gt;0,"等待依赖",IF(G33="","待指派",IF(H33="待验收","待验收","可推进")))))))</x:f>
        <x:v>等待依赖</x:v>
      </x:c>
      <x:c r="M33" s="16" t="str">
        <x:v>R23</x:v>
      </x:c>
      <x:c r="N33" s="21"/>
      <x:c r="O33" s="21"/>
      <x:c r="P33" s="19" t="str"/>
      <x:c r="Q33" s="19" t="str">
        <x:v>【执行记录】
自身工程实现及范围化执行证据已核验（应用源码 ff03a18）；不等于原整项验收及依赖已签收。
原直接依赖未签收：COL-013, COL-014, COL-017, COL-018。这是验收依赖，不是未实现代码清单。
本任务证据、执行范围与边界见 V1-CLOSURE.md 和矩阵 COL-019。
逐条验收：执行中 4。</x:v>
      </x:c>
    </x:row>
    <x:row r="34" ht="107" hidden="0" customHeight="1">
      <x:c r="A34" s="18" t="str">
        <x:v>COL-020</x:v>
      </x:c>
      <x:c r="B34" s="18" t="str">
        <x:v>接入现有预算与资源准入</x:v>
      </x:c>
      <x:c r="C34" s="18" t="str">
        <x:v>媒体任务与持续调度</x:v>
      </x:c>
      <x:c r="D34" s="23" t="str">
        <x:v>P0</x:v>
      </x:c>
      <x:c r="E34" s="23" t="str">
        <x:v>M1</x:v>
      </x:c>
      <x:c r="F34" s="18" t="str">
        <x:v>后端/运维</x:v>
      </x:c>
      <x:c r="G34" s="19" t="str">
        <x:v>loom-media</x:v>
      </x:c>
      <x:c r="H34" s="19" t="str">
        <x:v>待验收</x:v>
      </x:c>
      <x:c r="I34" s="24" t="n">
        <x:v>1.5</x:v>
      </x:c>
      <x:c r="J34" s="26" t="str">
        <x:v>COL-011, COL-012</x:v>
      </x:c>
      <x:c r="K34" s="26" t="n">
        <x:f>2-SUM(COUNTIFS('开发任务'!$A$7:$A$113,"COL-011",'开发任务'!$H$7:$H$113,"已完成"),COUNTIFS('开发任务'!$A$7:$A$113,"COL-012",'开发任务'!$H$7:$H$113,"已完成"))</x:f>
        <x:v>2</x:v>
      </x:c>
      <x:c r="L34" s="18" t="str">
        <x:f>IF(H34="已完成","已完成",IF(D34="P2","后续规划",IF(H34="阻塞","处理阻塞",IF(H34="暂停","已暂停",IF(K34&gt;0,"等待依赖",IF(G34="","待指派",IF(H34="待验收","待验收","可推进")))))))</x:f>
        <x:v>等待依赖</x:v>
      </x:c>
      <x:c r="M34" s="18" t="str">
        <x:v>R24</x:v>
      </x:c>
      <x:c r="N34" s="21"/>
      <x:c r="O34" s="21"/>
      <x:c r="P34" s="19" t="str"/>
      <x:c r="Q34" s="19" t="str">
        <x:v>【执行记录】
自身工程实现及范围化执行证据已核验（应用源码 ff03a18）；不等于原整项验收及依赖已签收。
原直接依赖未签收：COL-011, COL-012。这是验收依赖，不是未实现代码清单。
本任务证据、执行范围与边界见 V1-CLOSURE.md 和矩阵 COL-020。
逐条验收：执行中 3。</x:v>
      </x:c>
    </x:row>
    <x:row r="35" ht="95" hidden="0" customHeight="1">
      <x:c r="A35" s="16" t="str">
        <x:v>K-002</x:v>
      </x:c>
      <x:c r="B35" s="16" t="str">
        <x:v>建立raw/source版本与derived证据快照模型</x:v>
      </x:c>
      <x:c r="C35" s="16" t="str">
        <x:v>内容处理与证据</x:v>
      </x:c>
      <x:c r="D35" s="22" t="str">
        <x:v>P0</x:v>
      </x:c>
      <x:c r="E35" s="22" t="str">
        <x:v>M1</x:v>
      </x:c>
      <x:c r="F35" s="16" t="str">
        <x:v>后端工程师/数据库工程师</x:v>
      </x:c>
      <x:c r="G35" s="19" t="str">
        <x:v>knowledge</x:v>
      </x:c>
      <x:c r="H35" s="19" t="str">
        <x:v>待验收</x:v>
      </x:c>
      <x:c r="I35" s="24" t="n">
        <x:v>2.5</x:v>
      </x:c>
      <x:c r="J35" s="25" t="str">
        <x:v>K-001, FND-002</x:v>
      </x:c>
      <x:c r="K35" s="25" t="n">
        <x:f>2-SUM(COUNTIFS('开发任务'!$A$7:$A$113,"K-001",'开发任务'!$H$7:$H$113,"已完成"),COUNTIFS('开发任务'!$A$7:$A$113,"FND-002",'开发任务'!$H$7:$H$113,"已完成"))</x:f>
        <x:v>2</x:v>
      </x:c>
      <x:c r="L35" s="16" t="str">
        <x:f>IF(H35="已完成","已完成",IF(D35="P2","后续规划",IF(H35="阻塞","处理阻塞",IF(H35="暂停","已暂停",IF(K35&gt;0,"等待依赖",IF(G35="","待指派",IF(H35="待验收","待验收","可推进")))))))</x:f>
        <x:v>等待依赖</x:v>
      </x:c>
      <x:c r="M35" s="16" t="str">
        <x:v>R10 R21</x:v>
      </x:c>
      <x:c r="N35" s="21"/>
      <x:c r="O35" s="21"/>
      <x:c r="P35" s="19" t="str"/>
      <x:c r="Q35" s="19" t="str">
        <x:v>【执行记录】
自身工程实现及范围化执行证据已核验（应用源码 ff03a18）；不等于原整项验收及依赖已签收。
原直接依赖未签收：K-001, FND-002。这是验收依赖，不是未实现代码清单。
本任务证据、执行范围与边界见 V1-CLOSURE.md 和矩阵 K-002。
逐条验收：执行中 3。</x:v>
      </x:c>
    </x:row>
    <x:row r="36" ht="95" hidden="0" customHeight="1">
      <x:c r="A36" s="18" t="str">
        <x:v>K-003</x:v>
      </x:c>
      <x:c r="B36" s="18" t="str">
        <x:v>定义并校验不可变artifact manifest</x:v>
      </x:c>
      <x:c r="C36" s="18" t="str">
        <x:v>内容处理与证据</x:v>
      </x:c>
      <x:c r="D36" s="23" t="str">
        <x:v>P0</x:v>
      </x:c>
      <x:c r="E36" s="23" t="str">
        <x:v>M1</x:v>
      </x:c>
      <x:c r="F36" s="18" t="str">
        <x:v>后端工程师/媒体工程师</x:v>
      </x:c>
      <x:c r="G36" s="19" t="str">
        <x:v>knowledge</x:v>
      </x:c>
      <x:c r="H36" s="19" t="str">
        <x:v>待验收</x:v>
      </x:c>
      <x:c r="I36" s="24" t="n">
        <x:v>1.5</x:v>
      </x:c>
      <x:c r="J36" s="26" t="str">
        <x:v>K-001, K-002, COL-002</x:v>
      </x:c>
      <x:c r="K36" s="26" t="n">
        <x:f>3-SUM(COUNTIFS('开发任务'!$A$7:$A$113,"K-001",'开发任务'!$H$7:$H$113,"已完成"),COUNTIFS('开发任务'!$A$7:$A$113,"K-002",'开发任务'!$H$7:$H$113,"已完成"),COUNTIFS('开发任务'!$A$7:$A$113,"COL-002",'开发任务'!$H$7:$H$113,"已完成"))</x:f>
        <x:v>3</x:v>
      </x:c>
      <x:c r="L36" s="18" t="str">
        <x:f>IF(H36="已完成","已完成",IF(D36="P2","后续规划",IF(H36="阻塞","处理阻塞",IF(H36="暂停","已暂停",IF(K36&gt;0,"等待依赖",IF(G36="","待指派",IF(H36="待验收","待验收","可推进")))))))</x:f>
        <x:v>等待依赖</x:v>
      </x:c>
      <x:c r="M36" s="18" t="str">
        <x:v>R08 R10 R12</x:v>
      </x:c>
      <x:c r="N36" s="21"/>
      <x:c r="O36" s="21"/>
      <x:c r="P36" s="19" t="str"/>
      <x:c r="Q36" s="19" t="str">
        <x:v>【执行记录】
自身工程实现及范围化执行证据已核验（应用源码 ff03a18）；不等于原整项验收及依赖已签收。
原直接依赖未签收：K-001, K-002, COL-002。这是验收依赖，不是未实现代码清单。
本任务证据、执行范围与边界见 V1-CLOSURE.md 和矩阵 K-003。
逐条验收：执行中 3。</x:v>
      </x:c>
    </x:row>
    <x:row r="37" ht="120" hidden="0" customHeight="1">
      <x:c r="A37" s="16" t="str">
        <x:v>K-027</x:v>
      </x:c>
      <x:c r="B37" s="16" t="str">
        <x:v>配置首个行业知识profile与术语词表</x:v>
      </x:c>
      <x:c r="C37" s="16" t="str">
        <x:v>知识整理与治理</x:v>
      </x:c>
      <x:c r="D37" s="22" t="str">
        <x:v>P0</x:v>
      </x:c>
      <x:c r="E37" s="22" t="str">
        <x:v>M1</x:v>
      </x:c>
      <x:c r="F37" s="16" t="str">
        <x:v>知识工程师/行业审阅人</x:v>
      </x:c>
      <x:c r="G37" s="19" t="str">
        <x:v>knowledge</x:v>
      </x:c>
      <x:c r="H37" s="19" t="str">
        <x:v>阻塞</x:v>
      </x:c>
      <x:c r="I37" s="24" t="n">
        <x:v>2</x:v>
      </x:c>
      <x:c r="J37" s="25" t="str">
        <x:v>FND-001, K-001, CFG-001</x:v>
      </x:c>
      <x:c r="K37" s="25" t="n">
        <x:f>3-SUM(COUNTIFS('开发任务'!$A$7:$A$113,"FND-001",'开发任务'!$H$7:$H$113,"已完成"),COUNTIFS('开发任务'!$A$7:$A$113,"K-001",'开发任务'!$H$7:$H$113,"已完成"),COUNTIFS('开发任务'!$A$7:$A$113,"CFG-001",'开发任务'!$H$7:$H$113,"已完成"))</x:f>
        <x:v>3</x:v>
      </x:c>
      <x:c r="L37" s="16" t="str">
        <x:f>IF(H37="已完成","已完成",IF(D37="P2","后续规划",IF(H37="阻塞","处理阻塞",IF(H37="暂停","已暂停",IF(K37&gt;0,"等待依赖",IF(G37="","待指派",IF(H37="待验收","待验收","可推进")))))))</x:f>
        <x:v>处理阻塞</x:v>
      </x:c>
      <x:c r="M37" s="16" t="str">
        <x:v>R01</x:v>
      </x:c>
      <x:c r="N37" s="21"/>
      <x:c r="O37" s="21"/>
      <x:c r="P37" s="19" t="str"/>
      <x:c r="Q37" s="19" t="str">
        <x:v>【执行记录】
原业务定义待确认；通用开发配置及测试不代替实际行业、样本或负责人。
原条款待输入：确认实际首发行业并复核对应profile/词表/边界样例；通用开发profile不是实际行业冻结。
原直接依赖未签收：FND-001, K-001, CFG-001。这是验收依赖，不是未实现代码清单。
本任务证据、执行范围与边界见 V1-CLOSURE.md 和矩阵 K-027。
逐条验收：阻塞 3。</x:v>
      </x:c>
    </x:row>
    <x:row r="38" ht="95" hidden="0" customHeight="1">
      <x:c r="A38" s="18" t="str">
        <x:v>IF-002</x:v>
      </x:c>
      <x:c r="B38" s="18" t="str">
        <x:v>定义接口责任与作业标识映射</x:v>
      </x:c>
      <x:c r="C38" s="18" t="str">
        <x:v>MCP与宿主接口</x:v>
      </x:c>
      <x:c r="D38" s="23" t="str">
        <x:v>P0</x:v>
      </x:c>
      <x:c r="E38" s="23" t="str">
        <x:v>M1</x:v>
      </x:c>
      <x:c r="F38" s="18" t="str">
        <x:v>技术负责人/后端工程师</x:v>
      </x:c>
      <x:c r="G38" s="19" t="str">
        <x:v>gateway-ui</x:v>
      </x:c>
      <x:c r="H38" s="19" t="str">
        <x:v>待验收</x:v>
      </x:c>
      <x:c r="I38" s="24" t="n">
        <x:v>1</x:v>
      </x:c>
      <x:c r="J38" s="26" t="str">
        <x:v>IF-001, COL-002, K-002</x:v>
      </x:c>
      <x:c r="K38" s="26" t="n">
        <x:f>3-SUM(COUNTIFS('开发任务'!$A$7:$A$113,"IF-001",'开发任务'!$H$7:$H$113,"已完成"),COUNTIFS('开发任务'!$A$7:$A$113,"COL-002",'开发任务'!$H$7:$H$113,"已完成"),COUNTIFS('开发任务'!$A$7:$A$113,"K-002",'开发任务'!$H$7:$H$113,"已完成"))</x:f>
        <x:v>2</x:v>
      </x:c>
      <x:c r="L38" s="18" t="str">
        <x:f>IF(H38="已完成","已完成",IF(D38="P2","后续规划",IF(H38="阻塞","处理阻塞",IF(H38="暂停","已暂停",IF(K38&gt;0,"等待依赖",IF(G38="","待指派",IF(H38="待验收","待验收","可推进")))))))</x:f>
        <x:v>等待依赖</x:v>
      </x:c>
      <x:c r="M38" s="18" t="str">
        <x:v>R05 R17</x:v>
      </x:c>
      <x:c r="N38" s="21"/>
      <x:c r="O38" s="21"/>
      <x:c r="P38" s="19" t="str"/>
      <x:c r="Q38" s="19" t="str">
        <x:v>【执行记录】
自身工程实现及范围化执行证据已核验（应用源码 ff03a18）；不等于原整项验收及依赖已签收。
原直接依赖未签收：COL-002, K-002。这是验收依赖，不是未实现代码清单。
本任务证据、执行范围与边界见 V1-CLOSURE.md 和矩阵 IF-002。
逐条验收：执行中 3。</x:v>
      </x:c>
    </x:row>
    <x:row r="39" ht="95" hidden="0" customHeight="1">
      <x:c r="A39" s="16" t="str">
        <x:v>IF-003</x:v>
      </x:c>
      <x:c r="B39" s="16" t="str">
        <x:v>冻结MCP、受信import与ready事件契约</x:v>
      </x:c>
      <x:c r="C39" s="16" t="str">
        <x:v>MCP与宿主接口</x:v>
      </x:c>
      <x:c r="D39" s="22" t="str">
        <x:v>P0</x:v>
      </x:c>
      <x:c r="E39" s="22" t="str">
        <x:v>M1</x:v>
      </x:c>
      <x:c r="F39" s="16" t="str">
        <x:v>后端工程师/协议工程师</x:v>
      </x:c>
      <x:c r="G39" s="19" t="str">
        <x:v>gateway-ui</x:v>
      </x:c>
      <x:c r="H39" s="19" t="str">
        <x:v>待验收</x:v>
      </x:c>
      <x:c r="I39" s="24" t="n">
        <x:v>2</x:v>
      </x:c>
      <x:c r="J39" s="25" t="str">
        <x:v>IF-002, K-003</x:v>
      </x:c>
      <x:c r="K39" s="25" t="n">
        <x:f>2-SUM(COUNTIFS('开发任务'!$A$7:$A$113,"IF-002",'开发任务'!$H$7:$H$113,"已完成"),COUNTIFS('开发任务'!$A$7:$A$113,"K-003",'开发任务'!$H$7:$H$113,"已完成"))</x:f>
        <x:v>2</x:v>
      </x:c>
      <x:c r="L39" s="16" t="str">
        <x:f>IF(H39="已完成","已完成",IF(D39="P2","后续规划",IF(H39="阻塞","处理阻塞",IF(H39="暂停","已暂停",IF(K39&gt;0,"等待依赖",IF(G39="","待指派",IF(H39="待验收","待验收","可推进")))))))</x:f>
        <x:v>等待依赖</x:v>
      </x:c>
      <x:c r="M39" s="16" t="str">
        <x:v>R12 R17</x:v>
      </x:c>
      <x:c r="N39" s="21"/>
      <x:c r="O39" s="21"/>
      <x:c r="P39" s="19" t="str"/>
      <x:c r="Q39" s="19" t="str">
        <x:v>【执行记录】
自身工程实现及范围化执行证据已核验（应用源码 ff03a18）；不等于原整项验收及依赖已签收。
原直接依赖未签收：IF-002, K-003。这是验收依赖，不是未实现代码清单。
本任务证据、执行范围与边界见 V1-CLOSURE.md 和矩阵 IF-003。
逐条验收：执行中 5。</x:v>
      </x:c>
    </x:row>
    <x:row r="40" ht="95" hidden="0" customHeight="1">
      <x:c r="A40" s="18" t="str">
        <x:v>IF-004</x:v>
      </x:c>
      <x:c r="B40" s="18" t="str">
        <x:v>建立可信租户上下文与服务调用授权</x:v>
      </x:c>
      <x:c r="C40" s="18" t="str">
        <x:v>MCP与宿主接口</x:v>
      </x:c>
      <x:c r="D40" s="23" t="str">
        <x:v>P0</x:v>
      </x:c>
      <x:c r="E40" s="23" t="str">
        <x:v>M1</x:v>
      </x:c>
      <x:c r="F40" s="18" t="str">
        <x:v>后端工程师/安全工程师</x:v>
      </x:c>
      <x:c r="G40" s="19" t="str">
        <x:v>gateway-ui</x:v>
      </x:c>
      <x:c r="H40" s="19" t="str">
        <x:v>待验收</x:v>
      </x:c>
      <x:c r="I40" s="24" t="n">
        <x:v>2</x:v>
      </x:c>
      <x:c r="J40" s="26" t="str">
        <x:v>IF-003, COL-005, COL-012</x:v>
      </x:c>
      <x:c r="K40" s="26" t="n">
        <x:f>3-SUM(COUNTIFS('开发任务'!$A$7:$A$113,"IF-003",'开发任务'!$H$7:$H$113,"已完成"),COUNTIFS('开发任务'!$A$7:$A$113,"COL-005",'开发任务'!$H$7:$H$113,"已完成"),COUNTIFS('开发任务'!$A$7:$A$113,"COL-012",'开发任务'!$H$7:$H$113,"已完成"))</x:f>
        <x:v>3</x:v>
      </x:c>
      <x:c r="L40" s="18" t="str">
        <x:f>IF(H40="已完成","已完成",IF(D40="P2","后续规划",IF(H40="阻塞","处理阻塞",IF(H40="暂停","已暂停",IF(K40&gt;0,"等待依赖",IF(G40="","待指派",IF(H40="待验收","待验收","可推进")))))))</x:f>
        <x:v>等待依赖</x:v>
      </x:c>
      <x:c r="M40" s="18" t="str">
        <x:v>R21</x:v>
      </x:c>
      <x:c r="N40" s="21"/>
      <x:c r="O40" s="21"/>
      <x:c r="P40" s="19" t="str"/>
      <x:c r="Q40" s="19" t="str">
        <x:v>【执行记录】
自身工程实现及范围化执行证据已核验（应用源码 ff03a18）；不等于原整项验收及依赖已签收。
原直接依赖未签收：IF-003, COL-005, COL-012。这是验收依赖，不是未实现代码清单。
本任务证据、执行范围与边界见 V1-CLOSURE.md 和矩阵 IF-004。
逐条验收：执行中 4。</x:v>
      </x:c>
    </x:row>
    <x:row r="41" ht="82" hidden="0" customHeight="1">
      <x:c r="A41" s="16" t="str">
        <x:v>IF-005</x:v>
      </x:c>
      <x:c r="B41" s="16" t="str">
        <x:v>验证现有Gateway与视频MCP传输兼容</x:v>
      </x:c>
      <x:c r="C41" s="16" t="str">
        <x:v>MCP与宿主接口</x:v>
      </x:c>
      <x:c r="D41" s="22" t="str">
        <x:v>P0</x:v>
      </x:c>
      <x:c r="E41" s="22" t="str">
        <x:v>M1</x:v>
      </x:c>
      <x:c r="F41" s="16" t="str">
        <x:v>后端工程师</x:v>
      </x:c>
      <x:c r="G41" s="19" t="str">
        <x:v>gateway-ui</x:v>
      </x:c>
      <x:c r="H41" s="19" t="str">
        <x:v>待验收</x:v>
      </x:c>
      <x:c r="I41" s="24" t="n">
        <x:v>1</x:v>
      </x:c>
      <x:c r="J41" s="25" t="str">
        <x:v>IF-003</x:v>
      </x:c>
      <x:c r="K41" s="25" t="n">
        <x:f>1-SUM(COUNTIFS('开发任务'!$A$7:$A$113,"IF-003",'开发任务'!$H$7:$H$113,"已完成"))</x:f>
        <x:v>1</x:v>
      </x:c>
      <x:c r="L41" s="16" t="str">
        <x:f>IF(H41="已完成","已完成",IF(D41="P2","后续规划",IF(H41="阻塞","处理阻塞",IF(H41="暂停","已暂停",IF(K41&gt;0,"等待依赖",IF(G41="","待指派",IF(H41="待验收","待验收","可推进")))))))</x:f>
        <x:v>等待依赖</x:v>
      </x:c>
      <x:c r="M41" s="16" t="str">
        <x:v>R17</x:v>
      </x:c>
      <x:c r="N41" s="21"/>
      <x:c r="O41" s="21"/>
      <x:c r="P41" s="19" t="str"/>
      <x:c r="Q41" s="19" t="str">
        <x:v>【执行记录】
自身工程实现及范围化执行证据已核验（应用源码 ff03a18）；不等于原整项验收及依赖已签收。
原直接依赖未签收：IF-003。这是验收依赖，不是未实现代码清单。
本任务证据、执行范围与边界见 V1-CLOSURE.md 和矩阵 IF-005。
逐条验收：执行中 3。</x:v>
      </x:c>
    </x:row>
    <x:row r="42" ht="95" hidden="0" customHeight="1">
      <x:c r="A42" s="18" t="str">
        <x:v>IF-006</x:v>
      </x:c>
      <x:c r="B42" s="18" t="str">
        <x:v>实现薄MCP视频入口与宿主域服务适配</x:v>
      </x:c>
      <x:c r="C42" s="18" t="str">
        <x:v>MCP与宿主接口</x:v>
      </x:c>
      <x:c r="D42" s="23" t="str">
        <x:v>P0</x:v>
      </x:c>
      <x:c r="E42" s="23" t="str">
        <x:v>M1</x:v>
      </x:c>
      <x:c r="F42" s="18" t="str">
        <x:v>MCP/后端工程师</x:v>
      </x:c>
      <x:c r="G42" s="19" t="str">
        <x:v>gateway-ui</x:v>
      </x:c>
      <x:c r="H42" s="19" t="str">
        <x:v>待验收</x:v>
      </x:c>
      <x:c r="I42" s="24" t="n">
        <x:v>3</x:v>
      </x:c>
      <x:c r="J42" s="26" t="str">
        <x:v>IF-004, IF-005, COL-008, COL-009, COL-012, COL-013</x:v>
      </x:c>
      <x:c r="K42" s="26" t="n">
        <x:f>6-SUM(COUNTIFS('开发任务'!$A$7:$A$113,"IF-004",'开发任务'!$H$7:$H$113,"已完成"),COUNTIFS('开发任务'!$A$7:$A$113,"IF-005",'开发任务'!$H$7:$H$113,"已完成"),COUNTIFS('开发任务'!$A$7:$A$113,"COL-008",'开发任务'!$H$7:$H$113,"已完成"),COUNTIFS('开发任务'!$A$7:$A$113,"COL-009",'开发任务'!$H$7:$H$113,"已完成"),COUNTIFS('开发任务'!$A$7:$A$113,"COL-012",'开发任务'!$H$7:$H$113,"已完成"),COUNTIFS('开发任务'!$A$7:$A$113,"COL-013",'开发任务'!$H$7:$H$113,"已完成"))</x:f>
        <x:v>6</x:v>
      </x:c>
      <x:c r="L42" s="18" t="str">
        <x:f>IF(H42="已完成","已完成",IF(D42="P2","后续规划",IF(H42="阻塞","处理阻塞",IF(H42="暂停","已暂停",IF(K42&gt;0,"等待依赖",IF(G42="","待指派",IF(H42="待验收","待验收","可推进")))))))</x:f>
        <x:v>等待依赖</x:v>
      </x:c>
      <x:c r="M42" s="18" t="str">
        <x:v>R17</x:v>
      </x:c>
      <x:c r="N42" s="21"/>
      <x:c r="O42" s="21"/>
      <x:c r="P42" s="19" t="str"/>
      <x:c r="Q42" s="19" t="str">
        <x:v>【执行记录】
自身工程实现及范围化执行证据已核验（应用源码 ff03a18）；不等于原整项验收及依赖已签收。
原直接依赖未签收：IF-004, IF-005, COL-008, COL-009, COL-012, COL-013。这是验收依赖，不是未实现代码清单。
本任务证据、执行范围与边界见 V1-CLOSURE.md 和矩阵 IF-006。
逐条验收：执行中 4。</x:v>
      </x:c>
    </x:row>
    <x:row r="43" ht="95" hidden="0" customHeight="1">
      <x:c r="A43" s="16" t="str">
        <x:v>IF-007</x:v>
      </x:c>
      <x:c r="B43" s="16" t="str">
        <x:v>接通网关幂等键与结果不明对账</x:v>
      </x:c>
      <x:c r="C43" s="16" t="str">
        <x:v>MCP与宿主接口</x:v>
      </x:c>
      <x:c r="D43" s="22" t="str">
        <x:v>P0</x:v>
      </x:c>
      <x:c r="E43" s="22" t="str">
        <x:v>M1</x:v>
      </x:c>
      <x:c r="F43" s="16" t="str">
        <x:v>后端工程师</x:v>
      </x:c>
      <x:c r="G43" s="19" t="str">
        <x:v>gateway-ui</x:v>
      </x:c>
      <x:c r="H43" s="19" t="str">
        <x:v>待验收</x:v>
      </x:c>
      <x:c r="I43" s="24" t="n">
        <x:v>1.5</x:v>
      </x:c>
      <x:c r="J43" s="25" t="str">
        <x:v>IF-006, COL-013, COL-019</x:v>
      </x:c>
      <x:c r="K43" s="25" t="n">
        <x:f>3-SUM(COUNTIFS('开发任务'!$A$7:$A$113,"IF-006",'开发任务'!$H$7:$H$113,"已完成"),COUNTIFS('开发任务'!$A$7:$A$113,"COL-013",'开发任务'!$H$7:$H$113,"已完成"),COUNTIFS('开发任务'!$A$7:$A$113,"COL-019",'开发任务'!$H$7:$H$113,"已完成"))</x:f>
        <x:v>3</x:v>
      </x:c>
      <x:c r="L43" s="16" t="str">
        <x:f>IF(H43="已完成","已完成",IF(D43="P2","后续规划",IF(H43="阻塞","处理阻塞",IF(H43="暂停","已暂停",IF(K43&gt;0,"等待依赖",IF(G43="","待指派",IF(H43="待验收","待验收","可推进")))))))</x:f>
        <x:v>等待依赖</x:v>
      </x:c>
      <x:c r="M43" s="16" t="str">
        <x:v>R05 R17 R23</x:v>
      </x:c>
      <x:c r="N43" s="21"/>
      <x:c r="O43" s="21"/>
      <x:c r="P43" s="19" t="str"/>
      <x:c r="Q43" s="19" t="str">
        <x:v>【执行记录】
自身工程实现及范围化执行证据已核验（应用源码 ff03a18）；不等于原整项验收及依赖已签收。
原直接依赖未签收：IF-006, COL-013, COL-019。这是验收依赖，不是未实现代码清单。
本任务证据、执行范围与边界见 V1-CLOSURE.md 和矩阵 IF-007。
逐条验收：执行中 4。</x:v>
      </x:c>
    </x:row>
    <x:row r="44" ht="95" hidden="0" customHeight="1">
      <x:c r="A44" s="18" t="str">
        <x:v>IF-008</x:v>
      </x:c>
      <x:c r="B44" s="18" t="str">
        <x:v>增加精确可信内部MCP网络策略</x:v>
      </x:c>
      <x:c r="C44" s="18" t="str">
        <x:v>MCP与宿主接口</x:v>
      </x:c>
      <x:c r="D44" s="23" t="str">
        <x:v>P0</x:v>
      </x:c>
      <x:c r="E44" s="23" t="str">
        <x:v>M1</x:v>
      </x:c>
      <x:c r="F44" s="18" t="str">
        <x:v>后端工程师/运维工程师</x:v>
      </x:c>
      <x:c r="G44" s="19" t="str">
        <x:v>gateway-ui</x:v>
      </x:c>
      <x:c r="H44" s="19" t="str">
        <x:v>待验收</x:v>
      </x:c>
      <x:c r="I44" s="24" t="n">
        <x:v>2</x:v>
      </x:c>
      <x:c r="J44" s="26" t="str">
        <x:v>IF-004, IF-005, COL-025</x:v>
      </x:c>
      <x:c r="K44" s="26" t="n">
        <x:f>3-SUM(COUNTIFS('开发任务'!$A$7:$A$113,"IF-004",'开发任务'!$H$7:$H$113,"已完成"),COUNTIFS('开发任务'!$A$7:$A$113,"IF-005",'开发任务'!$H$7:$H$113,"已完成"),COUNTIFS('开发任务'!$A$7:$A$113,"COL-025",'开发任务'!$H$7:$H$113,"已完成"))</x:f>
        <x:v>3</x:v>
      </x:c>
      <x:c r="L44" s="18" t="str">
        <x:f>IF(H44="已完成","已完成",IF(D44="P2","后续规划",IF(H44="阻塞","处理阻塞",IF(H44="暂停","已暂停",IF(K44&gt;0,"等待依赖",IF(G44="","待指派",IF(H44="待验收","待验收","可推进")))))))</x:f>
        <x:v>等待依赖</x:v>
      </x:c>
      <x:c r="M44" s="18" t="str">
        <x:v>R17 R22</x:v>
      </x:c>
      <x:c r="N44" s="21"/>
      <x:c r="O44" s="21"/>
      <x:c r="P44" s="19" t="str"/>
      <x:c r="Q44" s="19" t="str">
        <x:v>【执行记录】
自身工程实现及范围化执行证据已核验（应用源码 ff03a18）；不等于原整项验收及依赖已签收。
原直接依赖未签收：IF-004, IF-005, COL-025。这是验收依赖，不是未实现代码清单。
本任务证据、执行范围与边界见 V1-CLOSURE.md 和矩阵 IF-008。
逐条验收：执行中 4。</x:v>
      </x:c>
    </x:row>
    <x:row r="45" ht="95" hidden="0" customHeight="1">
      <x:c r="A45" s="16" t="str">
        <x:v>IF-009</x:v>
      </x:c>
      <x:c r="B45" s="16" t="str">
        <x:v>实现有界结果、分页与错误映射</x:v>
      </x:c>
      <x:c r="C45" s="16" t="str">
        <x:v>MCP与宿主接口</x:v>
      </x:c>
      <x:c r="D45" s="22" t="str">
        <x:v>P0</x:v>
      </x:c>
      <x:c r="E45" s="22" t="str">
        <x:v>M1</x:v>
      </x:c>
      <x:c r="F45" s="16" t="str">
        <x:v>MCP/后端工程师</x:v>
      </x:c>
      <x:c r="G45" s="19" t="str">
        <x:v>gateway-ui</x:v>
      </x:c>
      <x:c r="H45" s="19" t="str">
        <x:v>待验收</x:v>
      </x:c>
      <x:c r="I45" s="24" t="n">
        <x:v>1</x:v>
      </x:c>
      <x:c r="J45" s="25" t="str">
        <x:v>IF-006, K-003</x:v>
      </x:c>
      <x:c r="K45" s="25" t="n">
        <x:f>2-SUM(COUNTIFS('开发任务'!$A$7:$A$113,"IF-006",'开发任务'!$H$7:$H$113,"已完成"),COUNTIFS('开发任务'!$A$7:$A$113,"K-003",'开发任务'!$H$7:$H$113,"已完成"))</x:f>
        <x:v>2</x:v>
      </x:c>
      <x:c r="L45" s="16" t="str">
        <x:f>IF(H45="已完成","已完成",IF(D45="P2","后续规划",IF(H45="阻塞","处理阻塞",IF(H45="暂停","已暂停",IF(K45&gt;0,"等待依赖",IF(G45="","待指派",IF(H45="待验收","待验收","可推进")))))))</x:f>
        <x:v>等待依赖</x:v>
      </x:c>
      <x:c r="M45" s="16" t="str">
        <x:v>R17 R23</x:v>
      </x:c>
      <x:c r="N45" s="21"/>
      <x:c r="O45" s="21"/>
      <x:c r="P45" s="19" t="str"/>
      <x:c r="Q45" s="19" t="str">
        <x:v>【执行记录】
自身工程实现及范围化执行证据已核验（应用源码 ff03a18）；不等于原整项验收及依赖已签收。
原直接依赖未签收：IF-006, K-003。这是验收依赖，不是未实现代码清单。
本任务证据、执行范围与边界见 V1-CLOSURE.md 和矩阵 IF-009。
逐条验收：执行中 4。</x:v>
      </x:c>
    </x:row>
    <x:row r="46" ht="95" hidden="0" customHeight="1">
      <x:c r="A46" s="18" t="str">
        <x:v>IF-010</x:v>
      </x:c>
      <x:c r="B46" s="18" t="str">
        <x:v>实现受信artifact提交路由与导入receipt</x:v>
      </x:c>
      <x:c r="C46" s="18" t="str">
        <x:v>MCP与宿主接口</x:v>
      </x:c>
      <x:c r="D46" s="23" t="str">
        <x:v>P0</x:v>
      </x:c>
      <x:c r="E46" s="23" t="str">
        <x:v>M1</x:v>
      </x:c>
      <x:c r="F46" s="18" t="str">
        <x:v>Loom/后端工程师</x:v>
      </x:c>
      <x:c r="G46" s="19" t="str">
        <x:v>gateway-ui</x:v>
      </x:c>
      <x:c r="H46" s="19" t="str">
        <x:v>待验收</x:v>
      </x:c>
      <x:c r="I46" s="24" t="n">
        <x:v>2</x:v>
      </x:c>
      <x:c r="J46" s="26" t="str">
        <x:v>IF-003, IF-004, COL-012, COL-017, K-002, K-003</x:v>
      </x:c>
      <x:c r="K46" s="26" t="n">
        <x:f>6-SUM(COUNTIFS('开发任务'!$A$7:$A$113,"IF-003",'开发任务'!$H$7:$H$113,"已完成"),COUNTIFS('开发任务'!$A$7:$A$113,"IF-004",'开发任务'!$H$7:$H$113,"已完成"),COUNTIFS('开发任务'!$A$7:$A$113,"COL-012",'开发任务'!$H$7:$H$113,"已完成"),COUNTIFS('开发任务'!$A$7:$A$113,"COL-017",'开发任务'!$H$7:$H$113,"已完成"),COUNTIFS('开发任务'!$A$7:$A$113,"K-002",'开发任务'!$H$7:$H$113,"已完成"),COUNTIFS('开发任务'!$A$7:$A$113,"K-003",'开发任务'!$H$7:$H$113,"已完成"))</x:f>
        <x:v>6</x:v>
      </x:c>
      <x:c r="L46" s="18" t="str">
        <x:f>IF(H46="已完成","已完成",IF(D46="P2","后续规划",IF(H46="阻塞","处理阻塞",IF(H46="暂停","已暂停",IF(K46&gt;0,"等待依赖",IF(G46="","待指派",IF(H46="待验收","待验收","可推进")))))))</x:f>
        <x:v>等待依赖</x:v>
      </x:c>
      <x:c r="M46" s="18" t="str">
        <x:v>R12 R21</x:v>
      </x:c>
      <x:c r="N46" s="21"/>
      <x:c r="O46" s="21"/>
      <x:c r="P46" s="19" t="str"/>
      <x:c r="Q46" s="19" t="str">
        <x:v>【执行记录】
自身工程实现及范围化执行证据已核验（应用源码 ff03a18）；不等于原整项验收及依赖已签收。
原直接依赖未签收：IF-003, IF-004, COL-012, COL-017, K-002, K-003。这是验收依赖，不是未实现代码清单。
本任务证据、执行范围与边界见 V1-CLOSURE.md 和矩阵 IF-010。
逐条验收：执行中 5。</x:v>
      </x:c>
    </x:row>
    <x:row r="47" ht="95" hidden="0" customHeight="1">
      <x:c r="A47" s="16" t="str">
        <x:v>IF-017</x:v>
      </x:c>
      <x:c r="B47" s="16" t="str">
        <x:v>嵌入视频来源配置与发现预览UI</x:v>
      </x:c>
      <x:c r="C47" s="16" t="str">
        <x:v>宿主界面</x:v>
      </x:c>
      <x:c r="D47" s="22" t="str">
        <x:v>P0</x:v>
      </x:c>
      <x:c r="E47" s="22" t="str">
        <x:v>M1</x:v>
      </x:c>
      <x:c r="F47" s="16" t="str">
        <x:v>前端工程师/产品设计</x:v>
      </x:c>
      <x:c r="G47" s="19" t="str">
        <x:v>gateway-ui</x:v>
      </x:c>
      <x:c r="H47" s="19" t="str">
        <x:v>待验收</x:v>
      </x:c>
      <x:c r="I47" s="24" t="n">
        <x:v>2.5</x:v>
      </x:c>
      <x:c r="J47" s="25" t="str">
        <x:v>IF-003, COL-004, COL-005, COL-008, COL-009, COL-011, K-001</x:v>
      </x:c>
      <x:c r="K47" s="25" t="n">
        <x:f>7-SUM(COUNTIFS('开发任务'!$A$7:$A$113,"IF-003",'开发任务'!$H$7:$H$113,"已完成"),COUNTIFS('开发任务'!$A$7:$A$113,"COL-004",'开发任务'!$H$7:$H$113,"已完成"),COUNTIFS('开发任务'!$A$7:$A$113,"COL-005",'开发任务'!$H$7:$H$113,"已完成"),COUNTIFS('开发任务'!$A$7:$A$113,"COL-008",'开发任务'!$H$7:$H$113,"已完成"),COUNTIFS('开发任务'!$A$7:$A$113,"COL-009",'开发任务'!$H$7:$H$113,"已完成"),COUNTIFS('开发任务'!$A$7:$A$113,"COL-011",'开发任务'!$H$7:$H$113,"已完成"),COUNTIFS('开发任务'!$A$7:$A$113,"K-001",'开发任务'!$H$7:$H$113,"已完成"))</x:f>
        <x:v>7</x:v>
      </x:c>
      <x:c r="L47" s="16" t="str">
        <x:f>IF(H47="已完成","已完成",IF(D47="P2","后续规划",IF(H47="阻塞","处理阻塞",IF(H47="暂停","已暂停",IF(K47&gt;0,"等待依赖",IF(G47="","待指派",IF(H47="待验收","待验收","可推进")))))))</x:f>
        <x:v>等待依赖</x:v>
      </x:c>
      <x:c r="M47" s="16" t="str">
        <x:v>R01 R02 R03 R20</x:v>
      </x:c>
      <x:c r="N47" s="21"/>
      <x:c r="O47" s="21"/>
      <x:c r="P47" s="19" t="str"/>
      <x:c r="Q47" s="19" t="str">
        <x:v>【执行记录】
自身工程实现及范围化执行证据已核验（应用源码 ff03a18）；不等于原整项验收及依赖已签收。
原直接依赖未签收：IF-003, COL-004, COL-005, COL-008, COL-009, COL-011, K-001。这是验收依赖，不是未实现代码清单。
本任务证据、执行范围与边界见 V1-CLOSURE.md 和矩阵 IF-017。
逐条验收：执行中 4。</x:v>
      </x:c>
    </x:row>
    <x:row r="48" ht="107" hidden="0" customHeight="1">
      <x:c r="A48" s="18" t="str">
        <x:v>COL-025</x:v>
      </x:c>
      <x:c r="B48" s="18" t="str">
        <x:v>Compose和运行角色集成</x:v>
      </x:c>
      <x:c r="C48" s="18" t="str">
        <x:v>运行与维护</x:v>
      </x:c>
      <x:c r="D48" s="23" t="str">
        <x:v>P0</x:v>
      </x:c>
      <x:c r="E48" s="23" t="str">
        <x:v>M1</x:v>
      </x:c>
      <x:c r="F48" s="18" t="str">
        <x:v>DevOps/集成后端</x:v>
      </x:c>
      <x:c r="G48" s="19" t="str">
        <x:v>loom-media</x:v>
      </x:c>
      <x:c r="H48" s="19" t="str">
        <x:v>待验收</x:v>
      </x:c>
      <x:c r="I48" s="24" t="n">
        <x:v>1.5</x:v>
      </x:c>
      <x:c r="J48" s="26" t="str">
        <x:v>COL-006, COL-015, COL-017</x:v>
      </x:c>
      <x:c r="K48" s="26" t="n">
        <x:f>3-SUM(COUNTIFS('开发任务'!$A$7:$A$113,"COL-006",'开发任务'!$H$7:$H$113,"已完成"),COUNTIFS('开发任务'!$A$7:$A$113,"COL-015",'开发任务'!$H$7:$H$113,"已完成"),COUNTIFS('开发任务'!$A$7:$A$113,"COL-017",'开发任务'!$H$7:$H$113,"已完成"))</x:f>
        <x:v>3</x:v>
      </x:c>
      <x:c r="L48" s="18" t="str">
        <x:f>IF(H48="已完成","已完成",IF(D48="P2","后续规划",IF(H48="阻塞","处理阻塞",IF(H48="暂停","已暂停",IF(K48&gt;0,"等待依赖",IF(G48="","待指派",IF(H48="待验收","待验收","可推进")))))))</x:f>
        <x:v>等待依赖</x:v>
      </x:c>
      <x:c r="M48" s="18" t="str">
        <x:v>R26</x:v>
      </x:c>
      <x:c r="N48" s="21"/>
      <x:c r="O48" s="21"/>
      <x:c r="P48" s="19" t="str"/>
      <x:c r="Q48" s="19" t="str">
        <x:v>【执行记录】
自身工程实现及范围化执行证据已核验（应用源码 ff03a18）；不等于原整项验收及依赖已签收。
原直接依赖未签收：COL-006, COL-015, COL-017。这是验收依赖，不是未实现代码清单。
本任务证据、执行范围与边界见 V1-CLOSURE.md 和矩阵 COL-025。
逐条验收：执行中 3。</x:v>
      </x:c>
    </x:row>
    <x:row r="49" ht="107" hidden="0" customHeight="1">
      <x:c r="A49" s="16" t="str">
        <x:v>COL-029</x:v>
      </x:c>
      <x:c r="B49" s="16" t="str">
        <x:v>留存、清理与备份恢复</x:v>
      </x:c>
      <x:c r="C49" s="16" t="str">
        <x:v>运行与维护</x:v>
      </x:c>
      <x:c r="D49" s="22" t="str">
        <x:v>P0</x:v>
      </x:c>
      <x:c r="E49" s="22" t="str">
        <x:v>M1</x:v>
      </x:c>
      <x:c r="F49" s="16" t="str">
        <x:v>DevOps/媒体后端</x:v>
      </x:c>
      <x:c r="G49" s="19" t="str">
        <x:v>loom-media</x:v>
      </x:c>
      <x:c r="H49" s="19" t="str">
        <x:v>待验收</x:v>
      </x:c>
      <x:c r="I49" s="24" t="n">
        <x:v>1.5</x:v>
      </x:c>
      <x:c r="J49" s="25" t="str">
        <x:v>COL-015, COL-019</x:v>
      </x:c>
      <x:c r="K49" s="25" t="n">
        <x:f>2-SUM(COUNTIFS('开发任务'!$A$7:$A$113,"COL-015",'开发任务'!$H$7:$H$113,"已完成"),COUNTIFS('开发任务'!$A$7:$A$113,"COL-019",'开发任务'!$H$7:$H$113,"已完成"))</x:f>
        <x:v>2</x:v>
      </x:c>
      <x:c r="L49" s="16" t="str">
        <x:f>IF(H49="已完成","已完成",IF(D49="P2","后续规划",IF(H49="阻塞","处理阻塞",IF(H49="暂停","已暂停",IF(K49&gt;0,"等待依赖",IF(G49="","待指派",IF(H49="待验收","待验收","可推进")))))))</x:f>
        <x:v>等待依赖</x:v>
      </x:c>
      <x:c r="M49" s="16" t="str">
        <x:v>R25 R28</x:v>
      </x:c>
      <x:c r="N49" s="21"/>
      <x:c r="O49" s="21"/>
      <x:c r="P49" s="19" t="str"/>
      <x:c r="Q49" s="19" t="str">
        <x:v>【执行记录】
自身工程实现及范围化执行证据已核验（应用源码 ff03a18）；不等于原整项验收及依赖已签收。
原直接依赖未签收：COL-015, COL-019。这是验收依赖，不是未实现代码清单。
本任务证据、执行范围与边界见 V1-CLOSURE.md 和矩阵 COL-029。
逐条验收：执行中 3。</x:v>
      </x:c>
    </x:row>
    <x:row r="50" ht="107" hidden="0" customHeight="1">
      <x:c r="A50" s="18" t="str">
        <x:v>COL-021</x:v>
      </x:c>
      <x:c r="B50" s="18" t="str">
        <x:v>可靠交接字幕或媒体输入产物</x:v>
      </x:c>
      <x:c r="C50" s="18" t="str">
        <x:v>媒体任务与持续调度</x:v>
      </x:c>
      <x:c r="D50" s="23" t="str">
        <x:v>P0</x:v>
      </x:c>
      <x:c r="E50" s="23" t="str">
        <x:v>M2</x:v>
      </x:c>
      <x:c r="F50" s="18" t="str">
        <x:v>采集/知识后端</x:v>
      </x:c>
      <x:c r="G50" s="19" t="str">
        <x:v>loom-media</x:v>
      </x:c>
      <x:c r="H50" s="19" t="str">
        <x:v>待验收</x:v>
      </x:c>
      <x:c r="I50" s="24" t="n">
        <x:v>1.5</x:v>
      </x:c>
      <x:c r="J50" s="26" t="str">
        <x:v>COL-015, COL-016, COL-019, K-003, IF-010</x:v>
      </x:c>
      <x:c r="K50" s="26" t="n">
        <x:f>5-SUM(COUNTIFS('开发任务'!$A$7:$A$113,"COL-015",'开发任务'!$H$7:$H$113,"已完成"),COUNTIFS('开发任务'!$A$7:$A$113,"COL-016",'开发任务'!$H$7:$H$113,"已完成"),COUNTIFS('开发任务'!$A$7:$A$113,"COL-019",'开发任务'!$H$7:$H$113,"已完成"),COUNTIFS('开发任务'!$A$7:$A$113,"K-003",'开发任务'!$H$7:$H$113,"已完成"),COUNTIFS('开发任务'!$A$7:$A$113,"IF-010",'开发任务'!$H$7:$H$113,"已完成"))</x:f>
        <x:v>5</x:v>
      </x:c>
      <x:c r="L50" s="18" t="str">
        <x:f>IF(H50="已完成","已完成",IF(D50="P2","后续规划",IF(H50="阻塞","处理阻塞",IF(H50="暂停","已暂停",IF(K50&gt;0,"等待依赖",IF(G50="","待指派",IF(H50="待验收","待验收","可推进")))))))</x:f>
        <x:v>等待依赖</x:v>
      </x:c>
      <x:c r="M50" s="18" t="str">
        <x:v>R06 R12</x:v>
      </x:c>
      <x:c r="N50" s="21"/>
      <x:c r="O50" s="21"/>
      <x:c r="P50" s="19" t="str"/>
      <x:c r="Q50" s="19" t="str">
        <x:v>【执行记录】
自身工程实现及范围化执行证据已核验（应用源码 ff03a18）；不等于原整项验收及依赖已签收。
原直接依赖未签收：COL-015, COL-016, COL-019, K-003, IF-010。这是验收依赖，不是未实现代码清单。
本任务证据、执行范围与边界见 V1-CLOSURE.md 和矩阵 COL-021。
逐条验收：执行中 3。</x:v>
      </x:c>
    </x:row>
    <x:row r="51" ht="107" hidden="0" customHeight="1">
      <x:c r="A51" s="16" t="str">
        <x:v>COL-022</x:v>
      </x:c>
      <x:c r="B51" s="16" t="str">
        <x:v>接收宿主ready回执并映射视频任务完成状态</x:v>
      </x:c>
      <x:c r="C51" s="16" t="str">
        <x:v>媒体任务与持续调度</x:v>
      </x:c>
      <x:c r="D51" s="22" t="str">
        <x:v>P0</x:v>
      </x:c>
      <x:c r="E51" s="22" t="str">
        <x:v>M2</x:v>
      </x:c>
      <x:c r="F51" s="16" t="str">
        <x:v>Loom/知识后端</x:v>
      </x:c>
      <x:c r="G51" s="19" t="str">
        <x:v>loom-media</x:v>
      </x:c>
      <x:c r="H51" s="19" t="str">
        <x:v>待验收</x:v>
      </x:c>
      <x:c r="I51" s="24" t="n">
        <x:v>1</x:v>
      </x:c>
      <x:c r="J51" s="25" t="str">
        <x:v>COL-012, COL-021, K-017</x:v>
      </x:c>
      <x:c r="K51" s="25" t="n">
        <x:f>3-SUM(COUNTIFS('开发任务'!$A$7:$A$113,"COL-012",'开发任务'!$H$7:$H$113,"已完成"),COUNTIFS('开发任务'!$A$7:$A$113,"COL-021",'开发任务'!$H$7:$H$113,"已完成"),COUNTIFS('开发任务'!$A$7:$A$113,"K-017",'开发任务'!$H$7:$H$113,"已完成"))</x:f>
        <x:v>3</x:v>
      </x:c>
      <x:c r="L51" s="16" t="str">
        <x:f>IF(H51="已完成","已完成",IF(D51="P2","后续规划",IF(H51="阻塞","处理阻塞",IF(H51="暂停","已暂停",IF(K51&gt;0,"等待依赖",IF(G51="","待指派",IF(H51="待验收","待验收","可推进")))))))</x:f>
        <x:v>等待依赖</x:v>
      </x:c>
      <x:c r="M51" s="16" t="str">
        <x:v>R12</x:v>
      </x:c>
      <x:c r="N51" s="21"/>
      <x:c r="O51" s="21"/>
      <x:c r="P51" s="19" t="str"/>
      <x:c r="Q51" s="19" t="str">
        <x:v>【执行记录】
自身工程实现及范围化执行证据已核验（应用源码 ff03a18）；不等于原整项验收及依赖已签收。
原直接依赖未签收：COL-012, COL-021, K-017。这是验收依赖，不是未实现代码清单。
本任务证据、执行范围与边界见 V1-CLOSURE.md 和矩阵 COL-022。
逐条验收：执行中 3。</x:v>
      </x:c>
    </x:row>
    <x:row r="52" ht="107" hidden="0" customHeight="1">
      <x:c r="A52" s="18" t="str">
        <x:v>COL-023</x:v>
      </x:c>
      <x:c r="B52" s="18" t="str">
        <x:v>在ready后驱动现有Monitor/Canvas</x:v>
      </x:c>
      <x:c r="C52" s="18" t="str">
        <x:v>媒体任务与持续调度</x:v>
      </x:c>
      <x:c r="D52" s="23" t="str">
        <x:v>P0</x:v>
      </x:c>
      <x:c r="E52" s="23" t="str">
        <x:v>M2</x:v>
      </x:c>
      <x:c r="F52" s="18" t="str">
        <x:v>工作流后端</x:v>
      </x:c>
      <x:c r="G52" s="19" t="str">
        <x:v>loom-media</x:v>
      </x:c>
      <x:c r="H52" s="19" t="str">
        <x:v>待验收</x:v>
      </x:c>
      <x:c r="I52" s="24" t="n">
        <x:v>1.5</x:v>
      </x:c>
      <x:c r="J52" s="26" t="str">
        <x:v>COL-011, COL-022</x:v>
      </x:c>
      <x:c r="K52" s="26" t="n">
        <x:f>2-SUM(COUNTIFS('开发任务'!$A$7:$A$113,"COL-011",'开发任务'!$H$7:$H$113,"已完成"),COUNTIFS('开发任务'!$A$7:$A$113,"COL-022",'开发任务'!$H$7:$H$113,"已完成"))</x:f>
        <x:v>2</x:v>
      </x:c>
      <x:c r="L52" s="18" t="str">
        <x:f>IF(H52="已完成","已完成",IF(D52="P2","后续规划",IF(H52="阻塞","处理阻塞",IF(H52="暂停","已暂停",IF(K52&gt;0,"等待依赖",IF(G52="","待指派",IF(H52="待验收","待验收","可推进")))))))</x:f>
        <x:v>等待依赖</x:v>
      </x:c>
      <x:c r="M52" s="18" t="str">
        <x:v>R03 R12 R18</x:v>
      </x:c>
      <x:c r="N52" s="21"/>
      <x:c r="O52" s="21"/>
      <x:c r="P52" s="19" t="str"/>
      <x:c r="Q52" s="19" t="str">
        <x:v>【执行记录】
自身工程实现及范围化执行证据已核验（应用源码 ff03a18）；不等于原整项验收及依赖已签收。
原直接依赖未签收：COL-011, COL-022。这是验收依赖，不是未实现代码清单。
本任务证据、执行范围与边界见 V1-CLOSURE.md 和矩阵 COL-023。
逐条验收：执行中 3。</x:v>
      </x:c>
    </x:row>
    <x:row r="53" ht="107" hidden="0" customHeight="1">
      <x:c r="A53" s="16" t="str">
        <x:v>COL-024</x:v>
      </x:c>
      <x:c r="B53" s="16" t="str">
        <x:v>接入宿主任务可观测性与人工操作</x:v>
      </x:c>
      <x:c r="C53" s="16" t="str">
        <x:v>媒体任务与持续调度</x:v>
      </x:c>
      <x:c r="D53" s="22" t="str">
        <x:v>P0</x:v>
      </x:c>
      <x:c r="E53" s="22" t="str">
        <x:v>M2</x:v>
      </x:c>
      <x:c r="F53" s="16" t="str">
        <x:v>后端/前端联调</x:v>
      </x:c>
      <x:c r="G53" s="19" t="str">
        <x:v>loom-media</x:v>
      </x:c>
      <x:c r="H53" s="19" t="str">
        <x:v>待验收</x:v>
      </x:c>
      <x:c r="I53" s="24" t="n">
        <x:v>1.5</x:v>
      </x:c>
      <x:c r="J53" s="25" t="str">
        <x:v>COL-012, COL-018, COL-019, COL-023</x:v>
      </x:c>
      <x:c r="K53" s="25" t="n">
        <x:f>4-SUM(COUNTIFS('开发任务'!$A$7:$A$113,"COL-012",'开发任务'!$H$7:$H$113,"已完成"),COUNTIFS('开发任务'!$A$7:$A$113,"COL-018",'开发任务'!$H$7:$H$113,"已完成"),COUNTIFS('开发任务'!$A$7:$A$113,"COL-019",'开发任务'!$H$7:$H$113,"已完成"),COUNTIFS('开发任务'!$A$7:$A$113,"COL-023",'开发任务'!$H$7:$H$113,"已完成"))</x:f>
        <x:v>4</x:v>
      </x:c>
      <x:c r="L53" s="16" t="str">
        <x:f>IF(H53="已完成","已完成",IF(D53="P2","后续规划",IF(H53="阻塞","处理阻塞",IF(H53="暂停","已暂停",IF(K53&gt;0,"等待依赖",IF(G53="","待指派",IF(H53="待验收","待验收","可推进")))))))</x:f>
        <x:v>等待依赖</x:v>
      </x:c>
      <x:c r="M53" s="16" t="str">
        <x:v>R20 R24</x:v>
      </x:c>
      <x:c r="N53" s="21"/>
      <x:c r="O53" s="21"/>
      <x:c r="P53" s="19" t="str"/>
      <x:c r="Q53" s="19" t="str">
        <x:v>【执行记录】
自身工程实现及范围化执行证据已核验（应用源码 ff03a18）；不等于原整项验收及依赖已签收。
原直接依赖未签收：COL-012, COL-018, COL-019, COL-023。这是验收依赖，不是未实现代码清单。
本任务证据、执行范围与边界见 V1-CLOSURE.md 和矩阵 COL-024。
逐条验收：执行中 3。</x:v>
      </x:c>
    </x:row>
    <x:row r="54" ht="95" hidden="0" customHeight="1">
      <x:c r="A54" s="18" t="str">
        <x:v>K-004</x:v>
      </x:c>
      <x:c r="B54" s="18" t="str">
        <x:v>实现字幕来源选择与标准化</x:v>
      </x:c>
      <x:c r="C54" s="18" t="str">
        <x:v>内容处理与证据</x:v>
      </x:c>
      <x:c r="D54" s="23" t="str">
        <x:v>P0</x:v>
      </x:c>
      <x:c r="E54" s="23" t="str">
        <x:v>M2</x:v>
      </x:c>
      <x:c r="F54" s="18" t="str">
        <x:v>知识工程师/媒体工程师</x:v>
      </x:c>
      <x:c r="G54" s="19" t="str">
        <x:v>knowledge</x:v>
      </x:c>
      <x:c r="H54" s="19" t="str">
        <x:v>待验收</x:v>
      </x:c>
      <x:c r="I54" s="24" t="n">
        <x:v>2</x:v>
      </x:c>
      <x:c r="J54" s="26" t="str">
        <x:v>K-001, K-003, COL-021</x:v>
      </x:c>
      <x:c r="K54" s="26" t="n">
        <x:f>3-SUM(COUNTIFS('开发任务'!$A$7:$A$113,"K-001",'开发任务'!$H$7:$H$113,"已完成"),COUNTIFS('开发任务'!$A$7:$A$113,"K-003",'开发任务'!$H$7:$H$113,"已完成"),COUNTIFS('开发任务'!$A$7:$A$113,"COL-021",'开发任务'!$H$7:$H$113,"已完成"))</x:f>
        <x:v>3</x:v>
      </x:c>
      <x:c r="L54" s="18" t="str">
        <x:f>IF(H54="已完成","已完成",IF(D54="P2","后续规划",IF(H54="阻塞","处理阻塞",IF(H54="暂停","已暂停",IF(K54&gt;0,"等待依赖",IF(G54="","待指派",IF(H54="待验收","待验收","可推进")))))))</x:f>
        <x:v>等待依赖</x:v>
      </x:c>
      <x:c r="M54" s="18" t="str">
        <x:v>R07</x:v>
      </x:c>
      <x:c r="N54" s="21"/>
      <x:c r="O54" s="21"/>
      <x:c r="P54" s="19" t="str"/>
      <x:c r="Q54" s="19" t="str">
        <x:v>【执行记录】
自身工程实现及范围化执行证据已核验（应用源码 ff03a18）；不等于原整项验收及依赖已签收。
原直接依赖未签收：K-001, K-003, COL-021。这是验收依赖，不是未实现代码清单。
本任务证据、执行范围与边界见 V1-CLOSURE.md 和矩阵 K-004。
逐条验收：执行中 3。</x:v>
      </x:c>
    </x:row>
    <x:row r="55" ht="95" hidden="0" customHeight="1">
      <x:c r="A55" s="16" t="str">
        <x:v>K-005</x:v>
      </x:c>
      <x:c r="B55" s="16" t="str">
        <x:v>无字幕场景复用宿主ASR并区分失败类型</x:v>
      </x:c>
      <x:c r="C55" s="16" t="str">
        <x:v>内容处理与证据</x:v>
      </x:c>
      <x:c r="D55" s="22" t="str">
        <x:v>P0</x:v>
      </x:c>
      <x:c r="E55" s="22" t="str">
        <x:v>M2</x:v>
      </x:c>
      <x:c r="F55" s="16" t="str">
        <x:v>后端工程师/媒体工程师</x:v>
      </x:c>
      <x:c r="G55" s="19" t="str">
        <x:v>knowledge</x:v>
      </x:c>
      <x:c r="H55" s="19" t="str">
        <x:v>待验收</x:v>
      </x:c>
      <x:c r="I55" s="24" t="n">
        <x:v>1.5</x:v>
      </x:c>
      <x:c r="J55" s="25" t="str">
        <x:v>K-003, K-004, COL-021</x:v>
      </x:c>
      <x:c r="K55" s="25" t="n">
        <x:f>3-SUM(COUNTIFS('开发任务'!$A$7:$A$113,"K-003",'开发任务'!$H$7:$H$113,"已完成"),COUNTIFS('开发任务'!$A$7:$A$113,"K-004",'开发任务'!$H$7:$H$113,"已完成"),COUNTIFS('开发任务'!$A$7:$A$113,"COL-021",'开发任务'!$H$7:$H$113,"已完成"))</x:f>
        <x:v>3</x:v>
      </x:c>
      <x:c r="L55" s="16" t="str">
        <x:f>IF(H55="已完成","已完成",IF(D55="P2","后续规划",IF(H55="阻塞","处理阻塞",IF(H55="暂停","已暂停",IF(K55&gt;0,"等待依赖",IF(G55="","待指派",IF(H55="待验收","待验收","可推进")))))))</x:f>
        <x:v>等待依赖</x:v>
      </x:c>
      <x:c r="M55" s="16" t="str">
        <x:v>R07</x:v>
      </x:c>
      <x:c r="N55" s="21"/>
      <x:c r="O55" s="21"/>
      <x:c r="P55" s="19" t="str"/>
      <x:c r="Q55" s="19" t="str">
        <x:v>【执行记录】
自身工程实现及范围化执行证据已核验（应用源码 ff03a18）；不等于原整项验收及依赖已签收。
原直接依赖未签收：K-003, K-004, COL-021。这是验收依赖，不是未实现代码清单。
本任务证据、执行范围与边界见 V1-CLOSURE.md 和矩阵 K-005。
逐条验收：执行中 3。</x:v>
      </x:c>
    </x:row>
    <x:row r="56" ht="95" hidden="0" customHeight="1">
      <x:c r="A56" s="18" t="str">
        <x:v>K-006</x:v>
      </x:c>
      <x:c r="B56" s="18" t="str">
        <x:v>保留完整ASR segments并移除静默截断</x:v>
      </x:c>
      <x:c r="C56" s="18" t="str">
        <x:v>内容处理与证据</x:v>
      </x:c>
      <x:c r="D56" s="23" t="str">
        <x:v>P0</x:v>
      </x:c>
      <x:c r="E56" s="23" t="str">
        <x:v>M2</x:v>
      </x:c>
      <x:c r="F56" s="18" t="str">
        <x:v>媒体工程师/后端工程师</x:v>
      </x:c>
      <x:c r="G56" s="19" t="str">
        <x:v>knowledge</x:v>
      </x:c>
      <x:c r="H56" s="19" t="str">
        <x:v>待验收</x:v>
      </x:c>
      <x:c r="I56" s="24" t="n">
        <x:v>2</x:v>
      </x:c>
      <x:c r="J56" s="26" t="str">
        <x:v>K-003, K-005</x:v>
      </x:c>
      <x:c r="K56" s="26" t="n">
        <x:f>2-SUM(COUNTIFS('开发任务'!$A$7:$A$113,"K-003",'开发任务'!$H$7:$H$113,"已完成"),COUNTIFS('开发任务'!$A$7:$A$113,"K-005",'开发任务'!$H$7:$H$113,"已完成"))</x:f>
        <x:v>2</x:v>
      </x:c>
      <x:c r="L56" s="18" t="str">
        <x:f>IF(H56="已完成","已完成",IF(D56="P2","后续规划",IF(H56="阻塞","处理阻塞",IF(H56="暂停","已暂停",IF(K56&gt;0,"等待依赖",IF(G56="","待指派",IF(H56="待验收","待验收","可推进")))))))</x:f>
        <x:v>等待依赖</x:v>
      </x:c>
      <x:c r="M56" s="18" t="str">
        <x:v>R07 R08</x:v>
      </x:c>
      <x:c r="N56" s="21"/>
      <x:c r="O56" s="21"/>
      <x:c r="P56" s="19" t="str"/>
      <x:c r="Q56" s="19" t="str">
        <x:v>【执行记录】
自身工程实现及范围化执行证据已核验（应用源码 ff03a18）；不等于原整项验收及依赖已签收。
原直接依赖未签收：K-003, K-005。这是验收依赖，不是未实现代码清单。
本任务证据、执行范围与边界见 V1-CLOSURE.md 和矩阵 K-006。
逐条验收：执行中 3。</x:v>
      </x:c>
    </x:row>
    <x:row r="57" ht="95" hidden="0" customHeight="1">
      <x:c r="A57" s="16" t="str">
        <x:v>K-007</x:v>
      </x:c>
      <x:c r="B57" s="16" t="str">
        <x:v>长视频分段拼接与可恢复产物处理</x:v>
      </x:c>
      <x:c r="C57" s="16" t="str">
        <x:v>内容处理与证据</x:v>
      </x:c>
      <x:c r="D57" s="22" t="str">
        <x:v>P0</x:v>
      </x:c>
      <x:c r="E57" s="22" t="str">
        <x:v>M2</x:v>
      </x:c>
      <x:c r="F57" s="16" t="str">
        <x:v>媒体工程师/后端工程师</x:v>
      </x:c>
      <x:c r="G57" s="19" t="str">
        <x:v>knowledge</x:v>
      </x:c>
      <x:c r="H57" s="19" t="str">
        <x:v>待验收</x:v>
      </x:c>
      <x:c r="I57" s="24" t="n">
        <x:v>3</x:v>
      </x:c>
      <x:c r="J57" s="25" t="str">
        <x:v>K-003, K-006, COL-017, COL-019</x:v>
      </x:c>
      <x:c r="K57" s="25" t="n">
        <x:f>4-SUM(COUNTIFS('开发任务'!$A$7:$A$113,"K-003",'开发任务'!$H$7:$H$113,"已完成"),COUNTIFS('开发任务'!$A$7:$A$113,"K-006",'开发任务'!$H$7:$H$113,"已完成"),COUNTIFS('开发任务'!$A$7:$A$113,"COL-017",'开发任务'!$H$7:$H$113,"已完成"),COUNTIFS('开发任务'!$A$7:$A$113,"COL-019",'开发任务'!$H$7:$H$113,"已完成"))</x:f>
        <x:v>4</x:v>
      </x:c>
      <x:c r="L57" s="16" t="str">
        <x:f>IF(H57="已完成","已完成",IF(D57="P2","后续规划",IF(H57="阻塞","处理阻塞",IF(H57="暂停","已暂停",IF(K57&gt;0,"等待依赖",IF(G57="","待指派",IF(H57="待验收","待验收","可推进")))))))</x:f>
        <x:v>等待依赖</x:v>
      </x:c>
      <x:c r="M57" s="16" t="str">
        <x:v>R08 R23</x:v>
      </x:c>
      <x:c r="N57" s="21"/>
      <x:c r="O57" s="21"/>
      <x:c r="P57" s="19" t="str"/>
      <x:c r="Q57" s="19" t="str">
        <x:v>【执行记录】
自身工程实现及范围化执行证据已核验（应用源码 ff03a18）；不等于原整项验收及依赖已签收。
原直接依赖未签收：K-003, K-006, COL-017, COL-019。这是验收依赖，不是未实现代码清单。
本任务证据、执行范围与边界见 V1-CLOSURE.md 和矩阵 K-007。
逐条验收：执行中 4。</x:v>
      </x:c>
    </x:row>
    <x:row r="58" ht="95" hidden="0" customHeight="1">
      <x:c r="A58" s="18" t="str">
        <x:v>K-008</x:v>
      </x:c>
      <x:c r="B58" s="18" t="str">
        <x:v>实现UTF-16原文区间到视频时间轴的映射</x:v>
      </x:c>
      <x:c r="C58" s="18" t="str">
        <x:v>内容处理与证据</x:v>
      </x:c>
      <x:c r="D58" s="23" t="str">
        <x:v>P0</x:v>
      </x:c>
      <x:c r="E58" s="23" t="str">
        <x:v>M2</x:v>
      </x:c>
      <x:c r="F58" s="18" t="str">
        <x:v>后端工程师/知识工程师</x:v>
      </x:c>
      <x:c r="G58" s="19" t="str">
        <x:v>knowledge</x:v>
      </x:c>
      <x:c r="H58" s="19" t="str">
        <x:v>待验收</x:v>
      </x:c>
      <x:c r="I58" s="24" t="n">
        <x:v>2</x:v>
      </x:c>
      <x:c r="J58" s="26" t="str">
        <x:v>K-002, K-006</x:v>
      </x:c>
      <x:c r="K58" s="26" t="n">
        <x:f>2-SUM(COUNTIFS('开发任务'!$A$7:$A$113,"K-002",'开发任务'!$H$7:$H$113,"已完成"),COUNTIFS('开发任务'!$A$7:$A$113,"K-006",'开发任务'!$H$7:$H$113,"已完成"))</x:f>
        <x:v>2</x:v>
      </x:c>
      <x:c r="L58" s="18" t="str">
        <x:f>IF(H58="已完成","已完成",IF(D58="P2","后续规划",IF(H58="阻塞","处理阻塞",IF(H58="暂停","已暂停",IF(K58&gt;0,"等待依赖",IF(G58="","待指派",IF(H58="待验收","待验收","可推进")))))))</x:f>
        <x:v>等待依赖</x:v>
      </x:c>
      <x:c r="M58" s="18" t="str">
        <x:v>R11</x:v>
      </x:c>
      <x:c r="N58" s="21"/>
      <x:c r="O58" s="21"/>
      <x:c r="P58" s="19" t="str"/>
      <x:c r="Q58" s="19" t="str">
        <x:v>【执行记录】
自身工程实现及范围化执行证据已核验（应用源码 ff03a18）；不等于原整项验收及依赖已签收。
原直接依赖未签收：K-002, K-006。这是验收依赖，不是未实现代码清单。
本任务证据、执行范围与边界见 V1-CLOSURE.md 和矩阵 K-008。
逐条验收：执行中 3。</x:v>
      </x:c>
    </x:row>
    <x:row r="59" ht="95" hidden="0" customHeight="1">
      <x:c r="A59" s="16" t="str">
        <x:v>K-009</x:v>
      </x:c>
      <x:c r="B59" s="16" t="str">
        <x:v>转录校对生成新版本并维护证据关系</x:v>
      </x:c>
      <x:c r="C59" s="16" t="str">
        <x:v>内容处理与证据</x:v>
      </x:c>
      <x:c r="D59" s="22" t="str">
        <x:v>P0</x:v>
      </x:c>
      <x:c r="E59" s="22" t="str">
        <x:v>M2</x:v>
      </x:c>
      <x:c r="F59" s="16" t="str">
        <x:v>后端工程师/知识工程师</x:v>
      </x:c>
      <x:c r="G59" s="19" t="str">
        <x:v>knowledge</x:v>
      </x:c>
      <x:c r="H59" s="19" t="str">
        <x:v>待验收</x:v>
      </x:c>
      <x:c r="I59" s="24" t="n">
        <x:v>2</x:v>
      </x:c>
      <x:c r="J59" s="25" t="str">
        <x:v>K-002, K-008</x:v>
      </x:c>
      <x:c r="K59" s="25" t="n">
        <x:f>2-SUM(COUNTIFS('开发任务'!$A$7:$A$113,"K-002",'开发任务'!$H$7:$H$113,"已完成"),COUNTIFS('开发任务'!$A$7:$A$113,"K-008",'开发任务'!$H$7:$H$113,"已完成"))</x:f>
        <x:v>2</x:v>
      </x:c>
      <x:c r="L59" s="16" t="str">
        <x:f>IF(H59="已完成","已完成",IF(D59="P2","后续规划",IF(H59="阻塞","处理阻塞",IF(H59="暂停","已暂停",IF(K59&gt;0,"等待依赖",IF(G59="","待指派",IF(H59="待验收","待验收","可推进")))))))</x:f>
        <x:v>等待依赖</x:v>
      </x:c>
      <x:c r="M59" s="16" t="str">
        <x:v>R07 R10 R11</x:v>
      </x:c>
      <x:c r="N59" s="21"/>
      <x:c r="O59" s="21"/>
      <x:c r="P59" s="19" t="str"/>
      <x:c r="Q59" s="19" t="str">
        <x:v>【执行记录】
自身工程实现及范围化执行证据已核验（应用源码 ff03a18）；不等于原整项验收及依赖已签收。
原直接依赖未签收：K-002, K-008。这是验收依赖，不是未实现代码清单。
本任务证据、执行范围与边界见 V1-CLOSURE.md 和矩阵 K-009。
逐条验收：执行中 3。</x:v>
      </x:c>
    </x:row>
    <x:row r="60" ht="95" hidden="0" customHeight="1">
      <x:c r="A60" s="18" t="str">
        <x:v>K-016</x:v>
      </x:c>
      <x:c r="B60" s="18" t="str">
        <x:v>修正定时刷新对derived正文的覆盖语义</x:v>
      </x:c>
      <x:c r="C60" s="18" t="str">
        <x:v>内容处理与证据</x:v>
      </x:c>
      <x:c r="D60" s="23" t="str">
        <x:v>P0</x:v>
      </x:c>
      <x:c r="E60" s="23" t="str">
        <x:v>M2</x:v>
      </x:c>
      <x:c r="F60" s="18" t="str">
        <x:v>后端工程师/数据库工程师</x:v>
      </x:c>
      <x:c r="G60" s="19" t="str">
        <x:v>knowledge</x:v>
      </x:c>
      <x:c r="H60" s="19" t="str">
        <x:v>待验收</x:v>
      </x:c>
      <x:c r="I60" s="24" t="n">
        <x:v>2</x:v>
      </x:c>
      <x:c r="J60" s="26" t="str">
        <x:v>K-002, K-003, COL-002</x:v>
      </x:c>
      <x:c r="K60" s="26" t="n">
        <x:f>3-SUM(COUNTIFS('开发任务'!$A$7:$A$113,"K-002",'开发任务'!$H$7:$H$113,"已完成"),COUNTIFS('开发任务'!$A$7:$A$113,"K-003",'开发任务'!$H$7:$H$113,"已完成"),COUNTIFS('开发任务'!$A$7:$A$113,"COL-002",'开发任务'!$H$7:$H$113,"已完成"))</x:f>
        <x:v>3</x:v>
      </x:c>
      <x:c r="L60" s="18" t="str">
        <x:f>IF(H60="已完成","已完成",IF(D60="P2","后续规划",IF(H60="阻塞","处理阻塞",IF(H60="暂停","已暂停",IF(K60&gt;0,"等待依赖",IF(G60="","待指派",IF(H60="待验收","待验收","可推进")))))))</x:f>
        <x:v>等待依赖</x:v>
      </x:c>
      <x:c r="M60" s="18" t="str">
        <x:v>R10</x:v>
      </x:c>
      <x:c r="N60" s="21"/>
      <x:c r="O60" s="21"/>
      <x:c r="P60" s="19" t="str"/>
      <x:c r="Q60" s="19" t="str">
        <x:v>【执行记录】
自身工程实现及范围化执行证据已核验（应用源码 ff03a18）；不等于原整项验收及依赖已签收。
原直接依赖未签收：K-002, K-003, COL-002。这是验收依赖，不是未实现代码清单。
本任务证据、执行范围与边界见 V1-CLOSURE.md 和矩阵 K-016。
逐条验收：执行中 3。</x:v>
      </x:c>
    </x:row>
    <x:row r="61" ht="95" hidden="0" customHeight="1">
      <x:c r="A61" s="16" t="str">
        <x:v>K-017</x:v>
      </x:c>
      <x:c r="B61" s="16" t="str">
        <x:v>实现宿主knowledge_ready原子屏障</x:v>
      </x:c>
      <x:c r="C61" s="16" t="str">
        <x:v>内容处理与证据</x:v>
      </x:c>
      <x:c r="D61" s="22" t="str">
        <x:v>P0</x:v>
      </x:c>
      <x:c r="E61" s="22" t="str">
        <x:v>M2</x:v>
      </x:c>
      <x:c r="F61" s="16" t="str">
        <x:v>后端工程师/数据库工程师</x:v>
      </x:c>
      <x:c r="G61" s="19" t="str">
        <x:v>knowledge</x:v>
      </x:c>
      <x:c r="H61" s="19" t="str">
        <x:v>待验收</x:v>
      </x:c>
      <x:c r="I61" s="24" t="n">
        <x:v>2.5</x:v>
      </x:c>
      <x:c r="J61" s="25" t="str">
        <x:v>K-003, K-008, K-016, IF-003, K-007, K-018</x:v>
      </x:c>
      <x:c r="K61" s="25" t="n">
        <x:f>6-SUM(COUNTIFS('开发任务'!$A$7:$A$113,"K-003",'开发任务'!$H$7:$H$113,"已完成"),COUNTIFS('开发任务'!$A$7:$A$113,"K-008",'开发任务'!$H$7:$H$113,"已完成"),COUNTIFS('开发任务'!$A$7:$A$113,"K-016",'开发任务'!$H$7:$H$113,"已完成"),COUNTIFS('开发任务'!$A$7:$A$113,"IF-003",'开发任务'!$H$7:$H$113,"已完成"),COUNTIFS('开发任务'!$A$7:$A$113,"K-007",'开发任务'!$H$7:$H$113,"已完成"),COUNTIFS('开发任务'!$A$7:$A$113,"K-018",'开发任务'!$H$7:$H$113,"已完成"))</x:f>
        <x:v>6</x:v>
      </x:c>
      <x:c r="L61" s="16" t="str">
        <x:f>IF(H61="已完成","已完成",IF(D61="P2","后续规划",IF(H61="阻塞","处理阻塞",IF(H61="暂停","已暂停",IF(K61&gt;0,"等待依赖",IF(G61="","待指派",IF(H61="待验收","待验收","可推进")))))))</x:f>
        <x:v>等待依赖</x:v>
      </x:c>
      <x:c r="M61" s="16" t="str">
        <x:v>R12</x:v>
      </x:c>
      <x:c r="N61" s="21"/>
      <x:c r="O61" s="21"/>
      <x:c r="P61" s="19" t="str"/>
      <x:c r="Q61" s="19" t="str">
        <x:v>【执行记录】
自身工程实现及范围化执行证据已核验（应用源码 ff03a18）；不等于原整项验收及依赖已签收。
原直接依赖未签收：K-003, K-008, K-016, IF-003, K-007, K-018。这是验收依赖，不是未实现代码清单。
本任务证据、执行范围与边界见 V1-CLOSURE.md 和矩阵 K-017。
逐条验收：执行中 4。</x:v>
      </x:c>
    </x:row>
    <x:row r="62" ht="95" hidden="0" customHeight="1">
      <x:c r="A62" s="18" t="str">
        <x:v>K-018</x:v>
      </x:c>
      <x:c r="B62" s="18" t="str">
        <x:v>复用宿主切块和检索并返回视频证据定位</x:v>
      </x:c>
      <x:c r="C62" s="18" t="str">
        <x:v>内容处理与证据</x:v>
      </x:c>
      <x:c r="D62" s="23" t="str">
        <x:v>P0</x:v>
      </x:c>
      <x:c r="E62" s="23" t="str">
        <x:v>M2</x:v>
      </x:c>
      <x:c r="F62" s="18" t="str">
        <x:v>后端工程师/检索工程师</x:v>
      </x:c>
      <x:c r="G62" s="19" t="str">
        <x:v>knowledge</x:v>
      </x:c>
      <x:c r="H62" s="19" t="str">
        <x:v>待验收</x:v>
      </x:c>
      <x:c r="I62" s="24" t="n">
        <x:v>2</x:v>
      </x:c>
      <x:c r="J62" s="26" t="str">
        <x:v>K-008, K-003, K-016</x:v>
      </x:c>
      <x:c r="K62" s="26" t="n">
        <x:f>3-SUM(COUNTIFS('开发任务'!$A$7:$A$113,"K-008",'开发任务'!$H$7:$H$113,"已完成"),COUNTIFS('开发任务'!$A$7:$A$113,"K-003",'开发任务'!$H$7:$H$113,"已完成"),COUNTIFS('开发任务'!$A$7:$A$113,"K-016",'开发任务'!$H$7:$H$113,"已完成"))</x:f>
        <x:v>3</x:v>
      </x:c>
      <x:c r="L62" s="18" t="str">
        <x:f>IF(H62="已完成","已完成",IF(D62="P2","后续规划",IF(H62="阻塞","处理阻塞",IF(H62="暂停","已暂停",IF(K62&gt;0,"等待依赖",IF(G62="","待指派",IF(H62="待验收","待验收","可推进")))))))</x:f>
        <x:v>等待依赖</x:v>
      </x:c>
      <x:c r="M62" s="18" t="str">
        <x:v>R11 R16</x:v>
      </x:c>
      <x:c r="N62" s="21"/>
      <x:c r="O62" s="21"/>
      <x:c r="P62" s="19" t="str"/>
      <x:c r="Q62" s="19" t="str">
        <x:v>【执行记录】
自身工程实现及范围化执行证据已核验（应用源码 ff03a18）；不等于原整项验收及依赖已签收。
原直接依赖未签收：K-008, K-003, K-016。这是验收依赖，不是未实现代码清单。
本任务证据、执行范围与边界见 V1-CLOSURE.md 和矩阵 K-018。
逐条验收：执行中 3。</x:v>
      </x:c>
    </x:row>
    <x:row r="63" ht="95" hidden="0" customHeight="1">
      <x:c r="A63" s="16" t="str">
        <x:v>K-019</x:v>
      </x:c>
      <x:c r="B63" s="16" t="str">
        <x:v>产物幂等与精确去重缓存</x:v>
      </x:c>
      <x:c r="C63" s="16" t="str">
        <x:v>内容处理与证据</x:v>
      </x:c>
      <x:c r="D63" s="22" t="str">
        <x:v>P0</x:v>
      </x:c>
      <x:c r="E63" s="22" t="str">
        <x:v>M2</x:v>
      </x:c>
      <x:c r="F63" s="16" t="str">
        <x:v>后端工程师</x:v>
      </x:c>
      <x:c r="G63" s="19" t="str">
        <x:v>knowledge</x:v>
      </x:c>
      <x:c r="H63" s="19" t="str">
        <x:v>待验收</x:v>
      </x:c>
      <x:c r="I63" s="24" t="n">
        <x:v>2</x:v>
      </x:c>
      <x:c r="J63" s="25" t="str">
        <x:v>K-002, K-003, K-017, COL-013</x:v>
      </x:c>
      <x:c r="K63" s="25" t="n">
        <x:f>4-SUM(COUNTIFS('开发任务'!$A$7:$A$113,"K-002",'开发任务'!$H$7:$H$113,"已完成"),COUNTIFS('开发任务'!$A$7:$A$113,"K-003",'开发任务'!$H$7:$H$113,"已完成"),COUNTIFS('开发任务'!$A$7:$A$113,"K-017",'开发任务'!$H$7:$H$113,"已完成"),COUNTIFS('开发任务'!$A$7:$A$113,"COL-013",'开发任务'!$H$7:$H$113,"已完成"))</x:f>
        <x:v>4</x:v>
      </x:c>
      <x:c r="L63" s="16" t="str">
        <x:f>IF(H63="已完成","已完成",IF(D63="P2","后续规划",IF(H63="阻塞","处理阻塞",IF(H63="暂停","已暂停",IF(K63&gt;0,"等待依赖",IF(G63="","待指派",IF(H63="待验收","待验收","可推进")))))))</x:f>
        <x:v>等待依赖</x:v>
      </x:c>
      <x:c r="M63" s="16" t="str">
        <x:v>R05 R10</x:v>
      </x:c>
      <x:c r="N63" s="21"/>
      <x:c r="O63" s="21"/>
      <x:c r="P63" s="19" t="str"/>
      <x:c r="Q63" s="19" t="str">
        <x:v>【执行记录】
自身工程实现及范围化执行证据已核验（应用源码 ff03a18）；不等于原整项验收及依赖已签收。
原直接依赖未签收：K-002, K-003, K-017, COL-013。这是验收依赖，不是未实现代码清单。
本任务证据、执行范围与边界见 V1-CLOSURE.md 和矩阵 K-019。
逐条验收：执行中 3。</x:v>
      </x:c>
    </x:row>
    <x:row r="64" ht="95" hidden="0" customHeight="1">
      <x:c r="A64" s="18" t="str">
        <x:v>K-021</x:v>
      </x:c>
      <x:c r="B64" s="18" t="str">
        <x:v>定义行业知识单元与候选版本schema</x:v>
      </x:c>
      <x:c r="C64" s="18" t="str">
        <x:v>知识整理与治理</x:v>
      </x:c>
      <x:c r="D64" s="23" t="str">
        <x:v>P0</x:v>
      </x:c>
      <x:c r="E64" s="23" t="str">
        <x:v>M2</x:v>
      </x:c>
      <x:c r="F64" s="18" t="str">
        <x:v>知识工程师/后端工程师</x:v>
      </x:c>
      <x:c r="G64" s="19" t="str">
        <x:v>knowledge</x:v>
      </x:c>
      <x:c r="H64" s="19" t="str">
        <x:v>待验收</x:v>
      </x:c>
      <x:c r="I64" s="24" t="n">
        <x:v>2</x:v>
      </x:c>
      <x:c r="J64" s="26" t="str">
        <x:v>K-002, K-008</x:v>
      </x:c>
      <x:c r="K64" s="26" t="n">
        <x:f>2-SUM(COUNTIFS('开发任务'!$A$7:$A$113,"K-002",'开发任务'!$H$7:$H$113,"已完成"),COUNTIFS('开发任务'!$A$7:$A$113,"K-008",'开发任务'!$H$7:$H$113,"已完成"))</x:f>
        <x:v>2</x:v>
      </x:c>
      <x:c r="L64" s="18" t="str">
        <x:f>IF(H64="已完成","已完成",IF(D64="P2","后续规划",IF(H64="阻塞","处理阻塞",IF(H64="暂停","已暂停",IF(K64&gt;0,"等待依赖",IF(G64="","待指派",IF(H64="待验收","待验收","可推进")))))))</x:f>
        <x:v>等待依赖</x:v>
      </x:c>
      <x:c r="M64" s="18" t="str">
        <x:v>R01 R13</x:v>
      </x:c>
      <x:c r="N64" s="21"/>
      <x:c r="O64" s="21"/>
      <x:c r="P64" s="19" t="str"/>
      <x:c r="Q64" s="19" t="str">
        <x:v>【执行记录】
自身工程实现及范围化执行证据已核验（应用源码 ff03a18）；不等于原整项验收及依赖已签收。
原直接依赖未签收：K-002, K-008。这是验收依赖，不是未实现代码清单。
本任务证据、执行范围与边界见 V1-CLOSURE.md 和矩阵 K-021。
逐条验收：执行中 4。</x:v>
      </x:c>
    </x:row>
    <x:row r="65" ht="95" hidden="0" customHeight="1">
      <x:c r="A65" s="16" t="str">
        <x:v>K-022</x:v>
      </x:c>
      <x:c r="B65" s="16" t="str">
        <x:v>经宿主网关提炼带证据的知识候选</x:v>
      </x:c>
      <x:c r="C65" s="16" t="str">
        <x:v>知识整理与治理</x:v>
      </x:c>
      <x:c r="D65" s="22" t="str">
        <x:v>P0</x:v>
      </x:c>
      <x:c r="E65" s="22" t="str">
        <x:v>M2</x:v>
      </x:c>
      <x:c r="F65" s="16" t="str">
        <x:v>知识工程师/模型工程师</x:v>
      </x:c>
      <x:c r="G65" s="19" t="str">
        <x:v>knowledge</x:v>
      </x:c>
      <x:c r="H65" s="19" t="str">
        <x:v>待验收</x:v>
      </x:c>
      <x:c r="I65" s="24" t="n">
        <x:v>2</x:v>
      </x:c>
      <x:c r="J65" s="25" t="str">
        <x:v>K-018, K-021, K-027, K-017</x:v>
      </x:c>
      <x:c r="K65" s="25" t="n">
        <x:f>4-SUM(COUNTIFS('开发任务'!$A$7:$A$113,"K-018",'开发任务'!$H$7:$H$113,"已完成"),COUNTIFS('开发任务'!$A$7:$A$113,"K-021",'开发任务'!$H$7:$H$113,"已完成"),COUNTIFS('开发任务'!$A$7:$A$113,"K-027",'开发任务'!$H$7:$H$113,"已完成"),COUNTIFS('开发任务'!$A$7:$A$113,"K-017",'开发任务'!$H$7:$H$113,"已完成"))</x:f>
        <x:v>4</x:v>
      </x:c>
      <x:c r="L65" s="16" t="str">
        <x:f>IF(H65="已完成","已完成",IF(D65="P2","后续规划",IF(H65="阻塞","处理阻塞",IF(H65="暂停","已暂停",IF(K65&gt;0,"等待依赖",IF(G65="","待指派",IF(H65="待验收","待验收","可推进")))))))</x:f>
        <x:v>等待依赖</x:v>
      </x:c>
      <x:c r="M65" s="16" t="str">
        <x:v>R13</x:v>
      </x:c>
      <x:c r="N65" s="21"/>
      <x:c r="O65" s="21"/>
      <x:c r="P65" s="19" t="str"/>
      <x:c r="Q65" s="19" t="str">
        <x:v>【执行记录】
自身工程实现及范围化执行证据已核验（应用源码 ff03a18）；不等于原整项验收及依赖已签收。
原直接依赖未签收：K-018, K-021, K-027, K-017。这是验收依赖，不是未实现代码清单。
本任务证据、执行范围与边界见 V1-CLOSURE.md 和矩阵 K-022。
逐条验收：执行中 3。</x:v>
      </x:c>
    </x:row>
    <x:row r="66" ht="95" hidden="0" customHeight="1">
      <x:c r="A66" s="18" t="str">
        <x:v>K-023</x:v>
      </x:c>
      <x:c r="B66" s="18" t="str">
        <x:v>实现候选复核后端状态与并发控制</x:v>
      </x:c>
      <x:c r="C66" s="18" t="str">
        <x:v>知识整理与治理</x:v>
      </x:c>
      <x:c r="D66" s="23" t="str">
        <x:v>P0</x:v>
      </x:c>
      <x:c r="E66" s="23" t="str">
        <x:v>M2</x:v>
      </x:c>
      <x:c r="F66" s="18" t="str">
        <x:v>后端工程师/知识产品工程师</x:v>
      </x:c>
      <x:c r="G66" s="19" t="str">
        <x:v>knowledge</x:v>
      </x:c>
      <x:c r="H66" s="19" t="str">
        <x:v>待验收</x:v>
      </x:c>
      <x:c r="I66" s="24" t="n">
        <x:v>2.5</x:v>
      </x:c>
      <x:c r="J66" s="26" t="str">
        <x:v>K-021, K-022</x:v>
      </x:c>
      <x:c r="K66" s="26" t="n">
        <x:f>2-SUM(COUNTIFS('开发任务'!$A$7:$A$113,"K-021",'开发任务'!$H$7:$H$113,"已完成"),COUNTIFS('开发任务'!$A$7:$A$113,"K-022",'开发任务'!$H$7:$H$113,"已完成"))</x:f>
        <x:v>2</x:v>
      </x:c>
      <x:c r="L66" s="18" t="str">
        <x:f>IF(H66="已完成","已完成",IF(D66="P2","后续规划",IF(H66="阻塞","处理阻塞",IF(H66="暂停","已暂停",IF(K66&gt;0,"等待依赖",IF(G66="","待指派",IF(H66="待验收","待验收","可推进")))))))</x:f>
        <x:v>等待依赖</x:v>
      </x:c>
      <x:c r="M66" s="18" t="str">
        <x:v>R15</x:v>
      </x:c>
      <x:c r="N66" s="21"/>
      <x:c r="O66" s="21"/>
      <x:c r="P66" s="19" t="str"/>
      <x:c r="Q66" s="19" t="str">
        <x:v>【执行记录】
自身工程实现及范围化执行证据已核验（应用源码 ff03a18）；不等于原整项验收及依赖已签收。
原直接依赖未签收：K-021, K-022。这是验收依赖，不是未实现代码清单。
本任务证据、执行范围与边界见 V1-CLOSURE.md 和矩阵 K-023。
逐条验收：执行中 4。</x:v>
      </x:c>
    </x:row>
    <x:row r="67" ht="95" hidden="0" customHeight="1">
      <x:c r="A67" s="16" t="str">
        <x:v>K-024</x:v>
      </x:c>
      <x:c r="B67" s="16" t="str">
        <x:v>发布知识快照并供宿主Agent安全查询</x:v>
      </x:c>
      <x:c r="C67" s="16" t="str">
        <x:v>知识整理与治理</x:v>
      </x:c>
      <x:c r="D67" s="22" t="str">
        <x:v>P0</x:v>
      </x:c>
      <x:c r="E67" s="22" t="str">
        <x:v>M2</x:v>
      </x:c>
      <x:c r="F67" s="16" t="str">
        <x:v>后端工程师/检索工程师</x:v>
      </x:c>
      <x:c r="G67" s="19" t="str">
        <x:v>knowledge</x:v>
      </x:c>
      <x:c r="H67" s="19" t="str">
        <x:v>待验收</x:v>
      </x:c>
      <x:c r="I67" s="24" t="n">
        <x:v>3</x:v>
      </x:c>
      <x:c r="J67" s="25" t="str">
        <x:v>K-018, K-023</x:v>
      </x:c>
      <x:c r="K67" s="25" t="n">
        <x:f>2-SUM(COUNTIFS('开发任务'!$A$7:$A$113,"K-018",'开发任务'!$H$7:$H$113,"已完成"),COUNTIFS('开发任务'!$A$7:$A$113,"K-023",'开发任务'!$H$7:$H$113,"已完成"))</x:f>
        <x:v>2</x:v>
      </x:c>
      <x:c r="L67" s="16" t="str">
        <x:f>IF(H67="已完成","已完成",IF(D67="P2","后续规划",IF(H67="阻塞","处理阻塞",IF(H67="暂停","已暂停",IF(K67&gt;0,"等待依赖",IF(G67="","待指派",IF(H67="待验收","待验收","可推进")))))))</x:f>
        <x:v>等待依赖</x:v>
      </x:c>
      <x:c r="M67" s="16" t="str">
        <x:v>R15 R16</x:v>
      </x:c>
      <x:c r="N67" s="21"/>
      <x:c r="O67" s="21"/>
      <x:c r="P67" s="19" t="str"/>
      <x:c r="Q67" s="19" t="str">
        <x:v>【执行记录】
自身工程实现及范围化执行证据已核验（应用源码 ff03a18）；不等于原整项验收及依赖已签收。
原直接依赖未签收：K-018, K-023。这是验收依赖，不是未实现代码清单。
本任务证据、执行范围与边界见 V1-CLOSURE.md 和矩阵 K-024。
逐条验收：执行中 4。</x:v>
      </x:c>
    </x:row>
    <x:row r="68" ht="95" hidden="0" customHeight="1">
      <x:c r="A68" s="18" t="str">
        <x:v>K-025</x:v>
      </x:c>
      <x:c r="B68" s="18" t="str">
        <x:v>来源删除与撤销的知识血缘传播</x:v>
      </x:c>
      <x:c r="C68" s="18" t="str">
        <x:v>知识整理与治理</x:v>
      </x:c>
      <x:c r="D68" s="23" t="str">
        <x:v>P0</x:v>
      </x:c>
      <x:c r="E68" s="23" t="str">
        <x:v>M2</x:v>
      </x:c>
      <x:c r="F68" s="18" t="str">
        <x:v>后端工程师/数据库工程师</x:v>
      </x:c>
      <x:c r="G68" s="19" t="str">
        <x:v>knowledge</x:v>
      </x:c>
      <x:c r="H68" s="19" t="str">
        <x:v>待验收</x:v>
      </x:c>
      <x:c r="I68" s="24" t="n">
        <x:v>2.5</x:v>
      </x:c>
      <x:c r="J68" s="26" t="str">
        <x:v>K-002, K-019, K-024, COL-029</x:v>
      </x:c>
      <x:c r="K68" s="26" t="n">
        <x:f>4-SUM(COUNTIFS('开发任务'!$A$7:$A$113,"K-002",'开发任务'!$H$7:$H$113,"已完成"),COUNTIFS('开发任务'!$A$7:$A$113,"K-019",'开发任务'!$H$7:$H$113,"已完成"),COUNTIFS('开发任务'!$A$7:$A$113,"K-024",'开发任务'!$H$7:$H$113,"已完成"),COUNTIFS('开发任务'!$A$7:$A$113,"COL-029",'开发任务'!$H$7:$H$113,"已完成"))</x:f>
        <x:v>4</x:v>
      </x:c>
      <x:c r="L68" s="18" t="str">
        <x:f>IF(H68="已完成","已完成",IF(D68="P2","后续规划",IF(H68="阻塞","处理阻塞",IF(H68="暂停","已暂停",IF(K68&gt;0,"等待依赖",IF(G68="","待指派",IF(H68="待验收","待验收","可推进")))))))</x:f>
        <x:v>等待依赖</x:v>
      </x:c>
      <x:c r="M68" s="18" t="str">
        <x:v>R25</x:v>
      </x:c>
      <x:c r="N68" s="21"/>
      <x:c r="O68" s="21"/>
      <x:c r="P68" s="19" t="str"/>
      <x:c r="Q68" s="19" t="str">
        <x:v>【执行记录】
自身工程实现及范围化执行证据已核验（应用源码 ff03a18）；不等于原整项验收及依赖已签收。
原直接依赖未签收：K-002, K-019, K-024, COL-029。这是验收依赖，不是未实现代码清单。
本任务证据、执行范围与边界见 V1-CLOSURE.md 和矩阵 K-025。
逐条验收：执行中 5。</x:v>
      </x:c>
    </x:row>
    <x:row r="69" ht="95" hidden="0" customHeight="1">
      <x:c r="A69" s="16" t="str">
        <x:v>IF-015</x:v>
      </x:c>
      <x:c r="B69" s="16" t="str">
        <x:v>注册与安装固定原生行业整理Skill</x:v>
      </x:c>
      <x:c r="C69" s="16" t="str">
        <x:v>行业Skill</x:v>
      </x:c>
      <x:c r="D69" s="22" t="str">
        <x:v>P0</x:v>
      </x:c>
      <x:c r="E69" s="22" t="str">
        <x:v>M2</x:v>
      </x:c>
      <x:c r="F69" s="16" t="str">
        <x:v>Go后端/Agent工程师</x:v>
      </x:c>
      <x:c r="G69" s="19" t="str">
        <x:v>gateway-ui</x:v>
      </x:c>
      <x:c r="H69" s="19" t="str">
        <x:v>待验收</x:v>
      </x:c>
      <x:c r="I69" s="24" t="n">
        <x:v>1.5</x:v>
      </x:c>
      <x:c r="J69" s="25" t="str">
        <x:v>IF-012, IF-014, K-026, K-027</x:v>
      </x:c>
      <x:c r="K69" s="25" t="n">
        <x:f>4-SUM(COUNTIFS('开发任务'!$A$7:$A$113,"IF-012",'开发任务'!$H$7:$H$113,"已完成"),COUNTIFS('开发任务'!$A$7:$A$113,"IF-014",'开发任务'!$H$7:$H$113,"已完成"),COUNTIFS('开发任务'!$A$7:$A$113,"K-026",'开发任务'!$H$7:$H$113,"已完成"),COUNTIFS('开发任务'!$A$7:$A$113,"K-027",'开发任务'!$H$7:$H$113,"已完成"))</x:f>
        <x:v>4</x:v>
      </x:c>
      <x:c r="L69" s="16" t="str">
        <x:f>IF(H69="已完成","已完成",IF(D69="P2","后续规划",IF(H69="阻塞","处理阻塞",IF(H69="暂停","已暂停",IF(K69&gt;0,"等待依赖",IF(G69="","待指派",IF(H69="待验收","待验收","可推进")))))))</x:f>
        <x:v>等待依赖</x:v>
      </x:c>
      <x:c r="M69" s="16" t="str">
        <x:v>R18</x:v>
      </x:c>
      <x:c r="N69" s="21"/>
      <x:c r="O69" s="21"/>
      <x:c r="P69" s="19" t="str"/>
      <x:c r="Q69" s="19" t="str">
        <x:v>【执行记录】
自身工程实现及范围化执行证据已核验（应用源码 ff03a18）；不等于原整项验收及依赖已签收。
原直接依赖未签收：IF-012, IF-014, K-026, K-027。这是验收依赖，不是未实现代码清单。
本任务证据、执行范围与边界见 V1-CLOSURE.md 和矩阵 IF-015。
逐条验收：执行中 4。</x:v>
      </x:c>
    </x:row>
    <x:row r="70" ht="95" hidden="0" customHeight="1">
      <x:c r="A70" s="18" t="str">
        <x:v>K-026</x:v>
      </x:c>
      <x:c r="B70" s="18" t="str">
        <x:v>稳定方法Skill固定知识快照与引用约束</x:v>
      </x:c>
      <x:c r="C70" s="18" t="str">
        <x:v>行业Skill</x:v>
      </x:c>
      <x:c r="D70" s="23" t="str">
        <x:v>P0</x:v>
      </x:c>
      <x:c r="E70" s="23" t="str">
        <x:v>M2</x:v>
      </x:c>
      <x:c r="F70" s="18" t="str">
        <x:v>Agent工程师/后端工程师</x:v>
      </x:c>
      <x:c r="G70" s="19" t="str">
        <x:v>knowledge</x:v>
      </x:c>
      <x:c r="H70" s="19" t="str">
        <x:v>待验收</x:v>
      </x:c>
      <x:c r="I70" s="24" t="n">
        <x:v>1.5</x:v>
      </x:c>
      <x:c r="J70" s="26" t="str">
        <x:v>K-024, K-025</x:v>
      </x:c>
      <x:c r="K70" s="26" t="n">
        <x:f>2-SUM(COUNTIFS('开发任务'!$A$7:$A$113,"K-024",'开发任务'!$H$7:$H$113,"已完成"),COUNTIFS('开发任务'!$A$7:$A$113,"K-025",'开发任务'!$H$7:$H$113,"已完成"))</x:f>
        <x:v>2</x:v>
      </x:c>
      <x:c r="L70" s="18" t="str">
        <x:f>IF(H70="已完成","已完成",IF(D70="P2","后续规划",IF(H70="阻塞","处理阻塞",IF(H70="暂停","已暂停",IF(K70&gt;0,"等待依赖",IF(G70="","待指派",IF(H70="待验收","待验收","可推进")))))))</x:f>
        <x:v>等待依赖</x:v>
      </x:c>
      <x:c r="M70" s="18" t="str">
        <x:v>R18</x:v>
      </x:c>
      <x:c r="N70" s="21"/>
      <x:c r="O70" s="21"/>
      <x:c r="P70" s="19" t="str"/>
      <x:c r="Q70" s="19" t="str">
        <x:v>【执行记录】
自身工程实现及范围化执行证据已核验（应用源码 ff03a18）；不等于原整项验收及依赖已签收。
原直接依赖未签收：K-024, K-025。这是验收依赖，不是未实现代码清单。
本任务证据、执行范围与边界见 V1-CLOSURE.md 和矩阵 K-026。
逐条验收：执行中 3。</x:v>
      </x:c>
    </x:row>
    <x:row r="71" ht="95" hidden="0" customHeight="1">
      <x:c r="A71" s="16" t="str">
        <x:v>IF-011</x:v>
      </x:c>
      <x:c r="B71" s="16" t="str">
        <x:v>接通ready通知与接口状态投影</x:v>
      </x:c>
      <x:c r="C71" s="16" t="str">
        <x:v>MCP与宿主接口</x:v>
      </x:c>
      <x:c r="D71" s="22" t="str">
        <x:v>P0</x:v>
      </x:c>
      <x:c r="E71" s="22" t="str">
        <x:v>M2</x:v>
      </x:c>
      <x:c r="F71" s="16" t="str">
        <x:v>后端工程师</x:v>
      </x:c>
      <x:c r="G71" s="19" t="str">
        <x:v>gateway-ui</x:v>
      </x:c>
      <x:c r="H71" s="19" t="str">
        <x:v>待验收</x:v>
      </x:c>
      <x:c r="I71" s="24" t="n">
        <x:v>1.5</x:v>
      </x:c>
      <x:c r="J71" s="25" t="str">
        <x:v>IF-010, K-017, COL-021, COL-022</x:v>
      </x:c>
      <x:c r="K71" s="25" t="n">
        <x:f>4-SUM(COUNTIFS('开发任务'!$A$7:$A$113,"IF-010",'开发任务'!$H$7:$H$113,"已完成"),COUNTIFS('开发任务'!$A$7:$A$113,"K-017",'开发任务'!$H$7:$H$113,"已完成"),COUNTIFS('开发任务'!$A$7:$A$113,"COL-021",'开发任务'!$H$7:$H$113,"已完成"),COUNTIFS('开发任务'!$A$7:$A$113,"COL-022",'开发任务'!$H$7:$H$113,"已完成"))</x:f>
        <x:v>4</x:v>
      </x:c>
      <x:c r="L71" s="16" t="str">
        <x:f>IF(H71="已完成","已完成",IF(D71="P2","后续规划",IF(H71="阻塞","处理阻塞",IF(H71="暂停","已暂停",IF(K71&gt;0,"等待依赖",IF(G71="","待指派",IF(H71="待验收","待验收","可推进")))))))</x:f>
        <x:v>等待依赖</x:v>
      </x:c>
      <x:c r="M71" s="16" t="str">
        <x:v>R12 R20</x:v>
      </x:c>
      <x:c r="N71" s="21"/>
      <x:c r="O71" s="21"/>
      <x:c r="P71" s="19" t="str"/>
      <x:c r="Q71" s="19" t="str">
        <x:v>【执行记录】
自身工程实现及范围化执行证据已核验（应用源码 ff03a18）；不等于原整项验收及依赖已签收。
原直接依赖未签收：IF-010, K-017, COL-021, COL-022。这是验收依赖，不是未实现代码清单。
本任务证据、执行范围与边界见 V1-CLOSURE.md 和矩阵 IF-011。
逐条验收：执行中 3。</x:v>
      </x:c>
    </x:row>
    <x:row r="72" ht="95" hidden="0" customHeight="1">
      <x:c r="A72" s="18" t="str">
        <x:v>IF-012</x:v>
      </x:c>
      <x:c r="B72" s="18" t="str">
        <x:v>接入Flow工具准入与运行能力快照</x:v>
      </x:c>
      <x:c r="C72" s="18" t="str">
        <x:v>MCP与宿主接口</x:v>
      </x:c>
      <x:c r="D72" s="23" t="str">
        <x:v>P0</x:v>
      </x:c>
      <x:c r="E72" s="23" t="str">
        <x:v>M2</x:v>
      </x:c>
      <x:c r="F72" s="18" t="str">
        <x:v>Go后端/Agent工程师</x:v>
      </x:c>
      <x:c r="G72" s="19" t="str">
        <x:v>gateway-ui</x:v>
      </x:c>
      <x:c r="H72" s="19" t="str">
        <x:v>待验收</x:v>
      </x:c>
      <x:c r="I72" s="24" t="n">
        <x:v>1.5</x:v>
      </x:c>
      <x:c r="J72" s="26" t="str">
        <x:v>IF-004, IF-006</x:v>
      </x:c>
      <x:c r="K72" s="26" t="n">
        <x:f>2-SUM(COUNTIFS('开发任务'!$A$7:$A$113,"IF-004",'开发任务'!$H$7:$H$113,"已完成"),COUNTIFS('开发任务'!$A$7:$A$113,"IF-006",'开发任务'!$H$7:$H$113,"已完成"))</x:f>
        <x:v>2</x:v>
      </x:c>
      <x:c r="L72" s="18" t="str">
        <x:f>IF(H72="已完成","已完成",IF(D72="P2","后续规划",IF(H72="阻塞","处理阻塞",IF(H72="暂停","已暂停",IF(K72&gt;0,"等待依赖",IF(G72="","待指派",IF(H72="待验收","待验收","可推进")))))))</x:f>
        <x:v>等待依赖</x:v>
      </x:c>
      <x:c r="M72" s="18" t="str">
        <x:v>R17 R21</x:v>
      </x:c>
      <x:c r="N72" s="21"/>
      <x:c r="O72" s="21"/>
      <x:c r="P72" s="19" t="str"/>
      <x:c r="Q72" s="19" t="str">
        <x:v>【执行记录】
自身工程实现及范围化执行证据已核验（应用源码 ff03a18）；不等于原整项验收及依赖已签收。
原直接依赖未签收：IF-004, IF-006。这是验收依赖，不是未实现代码清单。
本任务证据、执行范围与边界见 V1-CLOSURE.md 和矩阵 IF-012。
逐条验收：执行中 4。</x:v>
      </x:c>
    </x:row>
    <x:row r="73" ht="95" hidden="0" customHeight="1">
      <x:c r="A73" s="16" t="str">
        <x:v>IF-013</x:v>
      </x:c>
      <x:c r="B73" s="16" t="str">
        <x:v>验证手动、Agent、API与定时入口同链路</x:v>
      </x:c>
      <x:c r="C73" s="16" t="str">
        <x:v>MCP与宿主接口</x:v>
      </x:c>
      <x:c r="D73" s="22" t="str">
        <x:v>P0</x:v>
      </x:c>
      <x:c r="E73" s="22" t="str">
        <x:v>M2</x:v>
      </x:c>
      <x:c r="F73" s="16" t="str">
        <x:v>集成工程师/QA</x:v>
      </x:c>
      <x:c r="G73" s="19" t="str">
        <x:v>gateway-ui</x:v>
      </x:c>
      <x:c r="H73" s="19" t="str">
        <x:v>待验收</x:v>
      </x:c>
      <x:c r="I73" s="24" t="n">
        <x:v>1.5</x:v>
      </x:c>
      <x:c r="J73" s="25" t="str">
        <x:v>IF-007, IF-012, COL-008, COL-011, COL-012, COL-013, COL-023</x:v>
      </x:c>
      <x:c r="K73" s="25" t="n">
        <x:f>7-SUM(COUNTIFS('开发任务'!$A$7:$A$113,"IF-007",'开发任务'!$H$7:$H$113,"已完成"),COUNTIFS('开发任务'!$A$7:$A$113,"IF-012",'开发任务'!$H$7:$H$113,"已完成"),COUNTIFS('开发任务'!$A$7:$A$113,"COL-008",'开发任务'!$H$7:$H$113,"已完成"),COUNTIFS('开发任务'!$A$7:$A$113,"COL-011",'开发任务'!$H$7:$H$113,"已完成"),COUNTIFS('开发任务'!$A$7:$A$113,"COL-012",'开发任务'!$H$7:$H$113,"已完成"),COUNTIFS('开发任务'!$A$7:$A$113,"COL-013",'开发任务'!$H$7:$H$113,"已完成"),COUNTIFS('开发任务'!$A$7:$A$113,"COL-023",'开发任务'!$H$7:$H$113,"已完成"))</x:f>
        <x:v>7</x:v>
      </x:c>
      <x:c r="L73" s="16" t="str">
        <x:f>IF(H73="已完成","已完成",IF(D73="P2","后续规划",IF(H73="阻塞","处理阻塞",IF(H73="暂停","已暂停",IF(K73&gt;0,"等待依赖",IF(G73="","待指派",IF(H73="待验收","待验收","可推进")))))))</x:f>
        <x:v>等待依赖</x:v>
      </x:c>
      <x:c r="M73" s="16" t="str">
        <x:v>R05 R17</x:v>
      </x:c>
      <x:c r="N73" s="21"/>
      <x:c r="O73" s="21"/>
      <x:c r="P73" s="19" t="str"/>
      <x:c r="Q73" s="19" t="str">
        <x:v>【执行记录】
自身工程实现及范围化执行证据已核验（应用源码 ff03a18）；不等于原整项验收及依赖已签收。
原直接依赖未签收：IF-007, IF-012, COL-008, COL-011, COL-012, COL-013, COL-023。这是验收依赖，不是未实现代码清单。
本任务证据、执行范围与边界见 V1-CLOSURE.md 和矩阵 IF-013。
逐条验收：执行中 4。</x:v>
      </x:c>
    </x:row>
    <x:row r="74" ht="95" hidden="0" customHeight="1">
      <x:c r="A74" s="18" t="str">
        <x:v>IF-014</x:v>
      </x:c>
      <x:c r="B74" s="18" t="str">
        <x:v>把视频引用接入现有intel证据读取</x:v>
      </x:c>
      <x:c r="C74" s="18" t="str">
        <x:v>MCP与宿主接口</x:v>
      </x:c>
      <x:c r="D74" s="23" t="str">
        <x:v>P0</x:v>
      </x:c>
      <x:c r="E74" s="23" t="str">
        <x:v>M2</x:v>
      </x:c>
      <x:c r="F74" s="18" t="str">
        <x:v>Go后端/Agent工程师</x:v>
      </x:c>
      <x:c r="G74" s="19" t="str">
        <x:v>gateway-ui</x:v>
      </x:c>
      <x:c r="H74" s="19" t="str">
        <x:v>待验收</x:v>
      </x:c>
      <x:c r="I74" s="24" t="n">
        <x:v>1.5</x:v>
      </x:c>
      <x:c r="J74" s="26" t="str">
        <x:v>IF-003, K-008, K-018, K-024</x:v>
      </x:c>
      <x:c r="K74" s="26" t="n">
        <x:f>4-SUM(COUNTIFS('开发任务'!$A$7:$A$113,"IF-003",'开发任务'!$H$7:$H$113,"已完成"),COUNTIFS('开发任务'!$A$7:$A$113,"K-008",'开发任务'!$H$7:$H$113,"已完成"),COUNTIFS('开发任务'!$A$7:$A$113,"K-018",'开发任务'!$H$7:$H$113,"已完成"),COUNTIFS('开发任务'!$A$7:$A$113,"K-024",'开发任务'!$H$7:$H$113,"已完成"))</x:f>
        <x:v>4</x:v>
      </x:c>
      <x:c r="L74" s="18" t="str">
        <x:f>IF(H74="已完成","已完成",IF(D74="P2","后续规划",IF(H74="阻塞","处理阻塞",IF(H74="暂停","已暂停",IF(K74&gt;0,"等待依赖",IF(G74="","待指派",IF(H74="待验收","待验收","可推进")))))))</x:f>
        <x:v>等待依赖</x:v>
      </x:c>
      <x:c r="M74" s="18" t="str">
        <x:v>R11 R16</x:v>
      </x:c>
      <x:c r="N74" s="21"/>
      <x:c r="O74" s="21"/>
      <x:c r="P74" s="19" t="str"/>
      <x:c r="Q74" s="19" t="str">
        <x:v>【执行记录】
自身工程实现及范围化执行证据已核验（应用源码 ff03a18）；不等于原整项验收及依赖已签收。
原直接依赖未签收：IF-003, K-008, K-018, K-024。这是验收依赖，不是未实现代码清单。
本任务证据、执行范围与边界见 V1-CLOSURE.md 和矩阵 IF-014。
逐条验收：执行中 4。</x:v>
      </x:c>
    </x:row>
    <x:row r="75" ht="95" hidden="0" customHeight="1">
      <x:c r="A75" s="16" t="str">
        <x:v>IF-018</x:v>
      </x:c>
      <x:c r="B75" s="16" t="str">
        <x:v>嵌入采集批次与视频任务详情UI</x:v>
      </x:c>
      <x:c r="C75" s="16" t="str">
        <x:v>宿主界面</x:v>
      </x:c>
      <x:c r="D75" s="22" t="str">
        <x:v>P0</x:v>
      </x:c>
      <x:c r="E75" s="22" t="str">
        <x:v>M2</x:v>
      </x:c>
      <x:c r="F75" s="16" t="str">
        <x:v>前端工程师</x:v>
      </x:c>
      <x:c r="G75" s="19" t="str">
        <x:v>gateway-ui</x:v>
      </x:c>
      <x:c r="H75" s="19" t="str">
        <x:v>待验收</x:v>
      </x:c>
      <x:c r="I75" s="24" t="n">
        <x:v>2.5</x:v>
      </x:c>
      <x:c r="J75" s="25" t="str">
        <x:v>IF-009, IF-011, COL-012, COL-018, COL-019, COL-024</x:v>
      </x:c>
      <x:c r="K75" s="25" t="n">
        <x:f>6-SUM(COUNTIFS('开发任务'!$A$7:$A$113,"IF-009",'开发任务'!$H$7:$H$113,"已完成"),COUNTIFS('开发任务'!$A$7:$A$113,"IF-011",'开发任务'!$H$7:$H$113,"已完成"),COUNTIFS('开发任务'!$A$7:$A$113,"COL-012",'开发任务'!$H$7:$H$113,"已完成"),COUNTIFS('开发任务'!$A$7:$A$113,"COL-018",'开发任务'!$H$7:$H$113,"已完成"),COUNTIFS('开发任务'!$A$7:$A$113,"COL-019",'开发任务'!$H$7:$H$113,"已完成"),COUNTIFS('开发任务'!$A$7:$A$113,"COL-024",'开发任务'!$H$7:$H$113,"已完成"))</x:f>
        <x:v>6</x:v>
      </x:c>
      <x:c r="L75" s="16" t="str">
        <x:f>IF(H75="已完成","已完成",IF(D75="P2","后续规划",IF(H75="阻塞","处理阻塞",IF(H75="暂停","已暂停",IF(K75&gt;0,"等待依赖",IF(G75="","待指派",IF(H75="待验收","待验收","可推进")))))))</x:f>
        <x:v>等待依赖</x:v>
      </x:c>
      <x:c r="M75" s="16" t="str">
        <x:v>R20 R24</x:v>
      </x:c>
      <x:c r="N75" s="21"/>
      <x:c r="O75" s="21"/>
      <x:c r="P75" s="19" t="str"/>
      <x:c r="Q75" s="19" t="str">
        <x:v>【执行记录】
自身工程实现及范围化执行证据已核验（应用源码 ff03a18）；不等于原整项验收及依赖已签收。
原直接依赖未签收：IF-009, IF-011, COL-012, COL-018, COL-019, COL-024。这是验收依赖，不是未实现代码清单。
本任务证据、执行范围与边界见 V1-CLOSURE.md 和矩阵 IF-018。
逐条验收：执行中 4。</x:v>
      </x:c>
    </x:row>
    <x:row r="76" ht="95" hidden="0" customHeight="1">
      <x:c r="A76" s="18" t="str">
        <x:v>IF-019</x:v>
      </x:c>
      <x:c r="B76" s="18" t="str">
        <x:v>补齐MCP配置、授权与网络诊断UI</x:v>
      </x:c>
      <x:c r="C76" s="18" t="str">
        <x:v>宿主界面</x:v>
      </x:c>
      <x:c r="D76" s="23" t="str">
        <x:v>P0</x:v>
      </x:c>
      <x:c r="E76" s="23" t="str">
        <x:v>M2</x:v>
      </x:c>
      <x:c r="F76" s="18" t="str">
        <x:v>前端工程师/后端工程师</x:v>
      </x:c>
      <x:c r="G76" s="19" t="str">
        <x:v>gateway-ui</x:v>
      </x:c>
      <x:c r="H76" s="19" t="str">
        <x:v>待验收</x:v>
      </x:c>
      <x:c r="I76" s="24" t="n">
        <x:v>1</x:v>
      </x:c>
      <x:c r="J76" s="26" t="str">
        <x:v>IF-008, IF-012, COL-005</x:v>
      </x:c>
      <x:c r="K76" s="26" t="n">
        <x:f>3-SUM(COUNTIFS('开发任务'!$A$7:$A$113,"IF-008",'开发任务'!$H$7:$H$113,"已完成"),COUNTIFS('开发任务'!$A$7:$A$113,"IF-012",'开发任务'!$H$7:$H$113,"已完成"),COUNTIFS('开发任务'!$A$7:$A$113,"COL-005",'开发任务'!$H$7:$H$113,"已完成"))</x:f>
        <x:v>3</x:v>
      </x:c>
      <x:c r="L76" s="18" t="str">
        <x:f>IF(H76="已完成","已完成",IF(D76="P2","后续规划",IF(H76="阻塞","处理阻塞",IF(H76="暂停","已暂停",IF(K76&gt;0,"等待依赖",IF(G76="","待指派",IF(H76="待验收","待验收","可推进")))))))</x:f>
        <x:v>等待依赖</x:v>
      </x:c>
      <x:c r="M76" s="18" t="str">
        <x:v>R17 R20 R22</x:v>
      </x:c>
      <x:c r="N76" s="21"/>
      <x:c r="O76" s="21"/>
      <x:c r="P76" s="19" t="str"/>
      <x:c r="Q76" s="19" t="str">
        <x:v>【执行记录】
自身工程实现及范围化执行证据已核验（应用源码 ff03a18）；不等于原整项验收及依赖已签收。
原直接依赖未签收：IF-008, IF-012, COL-005。这是验收依赖，不是未实现代码清单。
本任务证据、执行范围与边界见 V1-CLOSURE.md 和矩阵 IF-019。
逐条验收：执行中 3。</x:v>
      </x:c>
    </x:row>
    <x:row r="77" ht="95" hidden="0" customHeight="1">
      <x:c r="A77" s="16" t="str">
        <x:v>IF-020</x:v>
      </x:c>
      <x:c r="B77" s="16" t="str">
        <x:v>实现知识候选复核UI</x:v>
      </x:c>
      <x:c r="C77" s="16" t="str">
        <x:v>宿主界面</x:v>
      </x:c>
      <x:c r="D77" s="22" t="str">
        <x:v>P0</x:v>
      </x:c>
      <x:c r="E77" s="22" t="str">
        <x:v>M2</x:v>
      </x:c>
      <x:c r="F77" s="16" t="str">
        <x:v>前端工程师/知识产品</x:v>
      </x:c>
      <x:c r="G77" s="19" t="str">
        <x:v>gateway-ui</x:v>
      </x:c>
      <x:c r="H77" s="19" t="str">
        <x:v>待验收</x:v>
      </x:c>
      <x:c r="I77" s="24" t="n">
        <x:v>2.5</x:v>
      </x:c>
      <x:c r="J77" s="25" t="str">
        <x:v>IF-014, IF-018, K-021, K-022, K-023, K-024</x:v>
      </x:c>
      <x:c r="K77" s="25" t="n">
        <x:f>6-SUM(COUNTIFS('开发任务'!$A$7:$A$113,"IF-014",'开发任务'!$H$7:$H$113,"已完成"),COUNTIFS('开发任务'!$A$7:$A$113,"IF-018",'开发任务'!$H$7:$H$113,"已完成"),COUNTIFS('开发任务'!$A$7:$A$113,"K-021",'开发任务'!$H$7:$H$113,"已完成"),COUNTIFS('开发任务'!$A$7:$A$113,"K-022",'开发任务'!$H$7:$H$113,"已完成"),COUNTIFS('开发任务'!$A$7:$A$113,"K-023",'开发任务'!$H$7:$H$113,"已完成"),COUNTIFS('开发任务'!$A$7:$A$113,"K-024",'开发任务'!$H$7:$H$113,"已完成"))</x:f>
        <x:v>6</x:v>
      </x:c>
      <x:c r="L77" s="16" t="str">
        <x:f>IF(H77="已完成","已完成",IF(D77="P2","后续规划",IF(H77="阻塞","处理阻塞",IF(H77="暂停","已暂停",IF(K77&gt;0,"等待依赖",IF(G77="","待指派",IF(H77="待验收","待验收","可推进")))))))</x:f>
        <x:v>等待依赖</x:v>
      </x:c>
      <x:c r="M77" s="16" t="str">
        <x:v>R15 R20</x:v>
      </x:c>
      <x:c r="N77" s="21"/>
      <x:c r="O77" s="21"/>
      <x:c r="P77" s="19" t="str"/>
      <x:c r="Q77" s="19" t="str">
        <x:v>【执行记录】
自身工程实现及范围化执行证据已核验（应用源码 ff03a18）；不等于原整项验收及依赖已签收。
原直接依赖未签收：IF-014, IF-018, K-021, K-022, K-023, K-024。这是验收依赖，不是未实现代码清单。
本任务证据、执行范围与边界见 V1-CLOSURE.md 和矩阵 IF-020。
逐条验收：执行中 4。</x:v>
      </x:c>
    </x:row>
    <x:row r="78" ht="95" hidden="0" customHeight="1">
      <x:c r="A78" s="18" t="str">
        <x:v>IF-021</x:v>
      </x:c>
      <x:c r="B78" s="18" t="str">
        <x:v>实现转写证据时轴与版本定位UI</x:v>
      </x:c>
      <x:c r="C78" s="18" t="str">
        <x:v>宿主界面</x:v>
      </x:c>
      <x:c r="D78" s="23" t="str">
        <x:v>P0</x:v>
      </x:c>
      <x:c r="E78" s="23" t="str">
        <x:v>M2</x:v>
      </x:c>
      <x:c r="F78" s="18" t="str">
        <x:v>前端工程师</x:v>
      </x:c>
      <x:c r="G78" s="19" t="str">
        <x:v>gateway-ui</x:v>
      </x:c>
      <x:c r="H78" s="19" t="str">
        <x:v>待验收</x:v>
      </x:c>
      <x:c r="I78" s="24" t="n">
        <x:v>3</x:v>
      </x:c>
      <x:c r="J78" s="26" t="str">
        <x:v>IF-014, IF-018, K-006, K-008, K-009, K-018</x:v>
      </x:c>
      <x:c r="K78" s="26" t="n">
        <x:f>6-SUM(COUNTIFS('开发任务'!$A$7:$A$113,"IF-014",'开发任务'!$H$7:$H$113,"已完成"),COUNTIFS('开发任务'!$A$7:$A$113,"IF-018",'开发任务'!$H$7:$H$113,"已完成"),COUNTIFS('开发任务'!$A$7:$A$113,"K-006",'开发任务'!$H$7:$H$113,"已完成"),COUNTIFS('开发任务'!$A$7:$A$113,"K-008",'开发任务'!$H$7:$H$113,"已完成"),COUNTIFS('开发任务'!$A$7:$A$113,"K-009",'开发任务'!$H$7:$H$113,"已完成"),COUNTIFS('开发任务'!$A$7:$A$113,"K-018",'开发任务'!$H$7:$H$113,"已完成"))</x:f>
        <x:v>6</x:v>
      </x:c>
      <x:c r="L78" s="18" t="str">
        <x:f>IF(H78="已完成","已完成",IF(D78="P2","后续规划",IF(H78="阻塞","处理阻塞",IF(H78="暂停","已暂停",IF(K78&gt;0,"等待依赖",IF(G78="","待指派",IF(H78="待验收","待验收","可推进")))))))</x:f>
        <x:v>等待依赖</x:v>
      </x:c>
      <x:c r="M78" s="18" t="str">
        <x:v>R11 R20</x:v>
      </x:c>
      <x:c r="N78" s="21"/>
      <x:c r="O78" s="21"/>
      <x:c r="P78" s="19" t="str"/>
      <x:c r="Q78" s="19" t="str">
        <x:v>【执行记录】
自身工程实现及范围化执行证据已核验（应用源码 ff03a18）；不等于原整项验收及依赖已签收。
原直接依赖未签收：IF-014, IF-018, K-006, K-008, K-009, K-018。这是验收依赖，不是未实现代码清单。
本任务证据、执行范围与边界见 V1-CLOSURE.md 和矩阵 IF-021。
逐条验收：执行中 4。</x:v>
      </x:c>
    </x:row>
    <x:row r="79" ht="95" hidden="0" customHeight="1">
      <x:c r="A79" s="16" t="str">
        <x:v>IF-022</x:v>
      </x:c>
      <x:c r="B79" s="16" t="str">
        <x:v>统一覆盖、降级与状态文案</x:v>
      </x:c>
      <x:c r="C79" s="16" t="str">
        <x:v>宿主界面</x:v>
      </x:c>
      <x:c r="D79" s="22" t="str">
        <x:v>P0</x:v>
      </x:c>
      <x:c r="E79" s="22" t="str">
        <x:v>M2</x:v>
      </x:c>
      <x:c r="F79" s="16" t="str">
        <x:v>产品设计/前端工程师</x:v>
      </x:c>
      <x:c r="G79" s="19" t="str">
        <x:v>gateway-ui</x:v>
      </x:c>
      <x:c r="H79" s="19" t="str">
        <x:v>待验收</x:v>
      </x:c>
      <x:c r="I79" s="24" t="n">
        <x:v>1</x:v>
      </x:c>
      <x:c r="J79" s="25" t="str">
        <x:v>IF-017, IF-018, IF-020, IF-021, K-001, COL-018</x:v>
      </x:c>
      <x:c r="K79" s="25" t="n">
        <x:f>6-SUM(COUNTIFS('开发任务'!$A$7:$A$113,"IF-017",'开发任务'!$H$7:$H$113,"已完成"),COUNTIFS('开发任务'!$A$7:$A$113,"IF-018",'开发任务'!$H$7:$H$113,"已完成"),COUNTIFS('开发任务'!$A$7:$A$113,"IF-020",'开发任务'!$H$7:$H$113,"已完成"),COUNTIFS('开发任务'!$A$7:$A$113,"IF-021",'开发任务'!$H$7:$H$113,"已完成"),COUNTIFS('开发任务'!$A$7:$A$113,"K-001",'开发任务'!$H$7:$H$113,"已完成"),COUNTIFS('开发任务'!$A$7:$A$113,"COL-018",'开发任务'!$H$7:$H$113,"已完成"))</x:f>
        <x:v>6</x:v>
      </x:c>
      <x:c r="L79" s="16" t="str">
        <x:f>IF(H79="已完成","已完成",IF(D79="P2","后续规划",IF(H79="阻塞","处理阻塞",IF(H79="暂停","已暂停",IF(K79&gt;0,"等待依赖",IF(G79="","待指派",IF(H79="待验收","待验收","可推进")))))))</x:f>
        <x:v>等待依赖</x:v>
      </x:c>
      <x:c r="M79" s="16" t="str">
        <x:v>R08 R12 R20</x:v>
      </x:c>
      <x:c r="N79" s="21"/>
      <x:c r="O79" s="21"/>
      <x:c r="P79" s="19" t="str"/>
      <x:c r="Q79" s="19" t="str">
        <x:v>【执行记录】
自身工程实现及范围化执行证据已核验（应用源码 ff03a18）；不等于原整项验收及依赖已签收。
原直接依赖未签收：IF-017, IF-018, IF-020, IF-021, K-001, COL-018。这是验收依赖，不是未实现代码清单。
本任务证据、执行范围与边界见 V1-CLOSURE.md 和矩阵 IF-022。
逐条验收：执行中 4。</x:v>
      </x:c>
    </x:row>
    <x:row r="80" ht="95" hidden="0" customHeight="1">
      <x:c r="A80" s="18" t="str">
        <x:v>IF-023</x:v>
      </x:c>
      <x:c r="B80" s="18" t="str">
        <x:v>实现任务通知与恢复操作的权限交互</x:v>
      </x:c>
      <x:c r="C80" s="18" t="str">
        <x:v>宿主界面</x:v>
      </x:c>
      <x:c r="D80" s="23" t="str">
        <x:v>P0</x:v>
      </x:c>
      <x:c r="E80" s="23" t="str">
        <x:v>M2</x:v>
      </x:c>
      <x:c r="F80" s="18" t="str">
        <x:v>前端工程师/后端工程师</x:v>
      </x:c>
      <x:c r="G80" s="19" t="str">
        <x:v>gateway-ui</x:v>
      </x:c>
      <x:c r="H80" s="19" t="str">
        <x:v>待验收</x:v>
      </x:c>
      <x:c r="I80" s="24" t="n">
        <x:v>1.5</x:v>
      </x:c>
      <x:c r="J80" s="26" t="str">
        <x:v>IF-011, IF-018, IF-019, COL-019, COL-024</x:v>
      </x:c>
      <x:c r="K80" s="26" t="n">
        <x:f>5-SUM(COUNTIFS('开发任务'!$A$7:$A$113,"IF-011",'开发任务'!$H$7:$H$113,"已完成"),COUNTIFS('开发任务'!$A$7:$A$113,"IF-018",'开发任务'!$H$7:$H$113,"已完成"),COUNTIFS('开发任务'!$A$7:$A$113,"IF-019",'开发任务'!$H$7:$H$113,"已完成"),COUNTIFS('开发任务'!$A$7:$A$113,"COL-019",'开发任务'!$H$7:$H$113,"已完成"),COUNTIFS('开发任务'!$A$7:$A$113,"COL-024",'开发任务'!$H$7:$H$113,"已完成"))</x:f>
        <x:v>5</x:v>
      </x:c>
      <x:c r="L80" s="18" t="str">
        <x:f>IF(H80="已完成","已完成",IF(D80="P2","后续规划",IF(H80="阻塞","处理阻塞",IF(H80="暂停","已暂停",IF(K80&gt;0,"等待依赖",IF(G80="","待指派",IF(H80="待验收","待验收","可推进")))))))</x:f>
        <x:v>等待依赖</x:v>
      </x:c>
      <x:c r="M80" s="18" t="str">
        <x:v>R20 R21 R23</x:v>
      </x:c>
      <x:c r="N80" s="21"/>
      <x:c r="O80" s="21"/>
      <x:c r="P80" s="19" t="str"/>
      <x:c r="Q80" s="19" t="str">
        <x:v>【执行记录】
自身工程实现及范围化执行证据已核验（应用源码 ff03a18）；不等于原整项验收及依赖已签收。
原直接依赖未签收：IF-011, IF-018, IF-019, COL-019, COL-024。这是验收依赖，不是未实现代码清单。
本任务证据、执行范围与边界见 V1-CLOSURE.md 和矩阵 IF-023。
逐条验收：执行中 4。</x:v>
      </x:c>
    </x:row>
    <x:row r="81" ht="95" hidden="0" customHeight="1">
      <x:c r="A81" s="16" t="str">
        <x:v>IF-027</x:v>
      </x:c>
      <x:c r="B81" s="16" t="str">
        <x:v>实现撤回、失效与来源删除影响UI</x:v>
      </x:c>
      <x:c r="C81" s="16" t="str">
        <x:v>宿主界面</x:v>
      </x:c>
      <x:c r="D81" s="22" t="str">
        <x:v>P0</x:v>
      </x:c>
      <x:c r="E81" s="22" t="str">
        <x:v>M2</x:v>
      </x:c>
      <x:c r="F81" s="16" t="str">
        <x:v>前端工程师</x:v>
      </x:c>
      <x:c r="G81" s="19" t="str">
        <x:v>gateway-ui</x:v>
      </x:c>
      <x:c r="H81" s="19" t="str">
        <x:v>待验收</x:v>
      </x:c>
      <x:c r="I81" s="24" t="n">
        <x:v>1</x:v>
      </x:c>
      <x:c r="J81" s="25" t="str">
        <x:v>IF-020, K-025, COL-029</x:v>
      </x:c>
      <x:c r="K81" s="25" t="n">
        <x:f>3-SUM(COUNTIFS('开发任务'!$A$7:$A$113,"IF-020",'开发任务'!$H$7:$H$113,"已完成"),COUNTIFS('开发任务'!$A$7:$A$113,"K-025",'开发任务'!$H$7:$H$113,"已完成"),COUNTIFS('开发任务'!$A$7:$A$113,"COL-029",'开发任务'!$H$7:$H$113,"已完成"))</x:f>
        <x:v>3</x:v>
      </x:c>
      <x:c r="L81" s="16" t="str">
        <x:f>IF(H81="已完成","已完成",IF(D81="P2","后续规划",IF(H81="阻塞","处理阻塞",IF(H81="暂停","已暂停",IF(K81&gt;0,"等待依赖",IF(G81="","待指派",IF(H81="待验收","待验收","可推进")))))))</x:f>
        <x:v>等待依赖</x:v>
      </x:c>
      <x:c r="M81" s="16" t="str">
        <x:v>R20 R25</x:v>
      </x:c>
      <x:c r="N81" s="21"/>
      <x:c r="O81" s="21"/>
      <x:c r="P81" s="19" t="str"/>
      <x:c r="Q81" s="19" t="str">
        <x:v>【执行记录】
自身工程实现及范围化执行证据已核验（应用源码 ff03a18）；不等于原整项验收及依赖已签收。
原直接依赖未签收：IF-020, K-025, COL-029。这是验收依赖，不是未实现代码清单。
本任务证据、执行范围与边界见 V1-CLOSURE.md 和矩阵 IF-027。
逐条验收：执行中 3。</x:v>
      </x:c>
    </x:row>
    <x:row r="82" ht="107" hidden="0" customHeight="1">
      <x:c r="A82" s="18" t="str">
        <x:v>COL-026</x:v>
      </x:c>
      <x:c r="B82" s="18" t="str">
        <x:v>本组单元与契约测试</x:v>
      </x:c>
      <x:c r="C82" s="18" t="str">
        <x:v>验收与发布</x:v>
      </x:c>
      <x:c r="D82" s="23" t="str">
        <x:v>P0</x:v>
      </x:c>
      <x:c r="E82" s="23" t="str">
        <x:v>M2</x:v>
      </x:c>
      <x:c r="F82" s="18" t="str">
        <x:v>后端/QA</x:v>
      </x:c>
      <x:c r="G82" s="19" t="str">
        <x:v>loom-media</x:v>
      </x:c>
      <x:c r="H82" s="19" t="str">
        <x:v>待验收</x:v>
      </x:c>
      <x:c r="I82" s="24" t="n">
        <x:v>1.5</x:v>
      </x:c>
      <x:c r="J82" s="26" t="str">
        <x:v>COL-007, COL-010, COL-012, COL-018, COL-021, FND-003</x:v>
      </x:c>
      <x:c r="K82" s="26" t="n">
        <x:f>6-SUM(COUNTIFS('开发任务'!$A$7:$A$113,"COL-007",'开发任务'!$H$7:$H$113,"已完成"),COUNTIFS('开发任务'!$A$7:$A$113,"COL-010",'开发任务'!$H$7:$H$113,"已完成"),COUNTIFS('开发任务'!$A$7:$A$113,"COL-012",'开发任务'!$H$7:$H$113,"已完成"),COUNTIFS('开发任务'!$A$7:$A$113,"COL-018",'开发任务'!$H$7:$H$113,"已完成"),COUNTIFS('开发任务'!$A$7:$A$113,"COL-021",'开发任务'!$H$7:$H$113,"已完成"),COUNTIFS('开发任务'!$A$7:$A$113,"FND-003",'开发任务'!$H$7:$H$113,"已完成"))</x:f>
        <x:v>6</x:v>
      </x:c>
      <x:c r="L82" s="18" t="str">
        <x:f>IF(H82="已完成","已完成",IF(D82="P2","后续规划",IF(H82="阻塞","处理阻塞",IF(H82="暂停","已暂停",IF(K82&gt;0,"等待依赖",IF(G82="","待指派",IF(H82="待验收","待验收","可推进")))))))</x:f>
        <x:v>等待依赖</x:v>
      </x:c>
      <x:c r="M82" s="18" t="str">
        <x:v>R04 R05 R22 R27</x:v>
      </x:c>
      <x:c r="N82" s="21"/>
      <x:c r="O82" s="21"/>
      <x:c r="P82" s="19" t="str"/>
      <x:c r="Q82" s="19" t="str">
        <x:v>【执行记录】
自身工程实现及范围化执行证据已核验（应用源码 ff03a18）；不等于原整项验收及依赖已签收。
原直接依赖未签收：COL-007, COL-010, COL-012, COL-018, COL-021, FND-003。这是验收依赖，不是未实现代码清单。
本任务证据、执行范围与边界见 V1-CLOSURE.md 和矩阵 COL-026。
逐条验收：执行中 3。</x:v>
      </x:c>
    </x:row>
    <x:row r="83" ht="120" hidden="0" customHeight="1">
      <x:c r="A83" s="16" t="str">
        <x:v>COL-027</x:v>
      </x:c>
      <x:c r="B83" s="16" t="str">
        <x:v>跨服务故障注入与恢复验收</x:v>
      </x:c>
      <x:c r="C83" s="16" t="str">
        <x:v>验收与发布</x:v>
      </x:c>
      <x:c r="D83" s="22" t="str">
        <x:v>P0</x:v>
      </x:c>
      <x:c r="E83" s="22" t="str">
        <x:v>M2</x:v>
      </x:c>
      <x:c r="F83" s="16" t="str">
        <x:v>QA/后端</x:v>
      </x:c>
      <x:c r="G83" s="19" t="str">
        <x:v>loom-media</x:v>
      </x:c>
      <x:c r="H83" s="19" t="str">
        <x:v>待验收</x:v>
      </x:c>
      <x:c r="I83" s="24" t="n">
        <x:v>2.5</x:v>
      </x:c>
      <x:c r="J83" s="25" t="str">
        <x:v>COL-010, COL-013, COL-017, COL-019, COL-022, COL-023, COL-025</x:v>
      </x:c>
      <x:c r="K83" s="25" t="n">
        <x:f>7-SUM(COUNTIFS('开发任务'!$A$7:$A$113,"COL-010",'开发任务'!$H$7:$H$113,"已完成"),COUNTIFS('开发任务'!$A$7:$A$113,"COL-013",'开发任务'!$H$7:$H$113,"已完成"),COUNTIFS('开发任务'!$A$7:$A$113,"COL-017",'开发任务'!$H$7:$H$113,"已完成"),COUNTIFS('开发任务'!$A$7:$A$113,"COL-019",'开发任务'!$H$7:$H$113,"已完成"),COUNTIFS('开发任务'!$A$7:$A$113,"COL-022",'开发任务'!$H$7:$H$113,"已完成"),COUNTIFS('开发任务'!$A$7:$A$113,"COL-023",'开发任务'!$H$7:$H$113,"已完成"),COUNTIFS('开发任务'!$A$7:$A$113,"COL-025",'开发任务'!$H$7:$H$113,"已完成"))</x:f>
        <x:v>7</x:v>
      </x:c>
      <x:c r="L83" s="16" t="str">
        <x:f>IF(H83="已完成","已完成",IF(D83="P2","后续规划",IF(H83="阻塞","处理阻塞",IF(H83="暂停","已暂停",IF(K83&gt;0,"等待依赖",IF(G83="","待指派",IF(H83="待验收","待验收","可推进")))))))</x:f>
        <x:v>等待依赖</x:v>
      </x:c>
      <x:c r="M83" s="16" t="str">
        <x:v>R23 R27</x:v>
      </x:c>
      <x:c r="N83" s="21"/>
      <x:c r="O83" s="21"/>
      <x:c r="P83" s="19" t="str"/>
      <x:c r="Q83" s="19" t="str">
        <x:v>【执行记录】
自身工程实现及范围化执行证据已核验（应用源码 ff03a18）；不等于原整项验收及依赖已签收。
原直接依赖未签收：COL-010, COL-013, COL-017, COL-019, COL-022, COL-023, COL-025。这是验收依赖，不是未实现代码清单。
本任务证据、执行范围与边界见 V1-CLOSURE.md 和矩阵 COL-027。
逐条验收：执行中 3。</x:v>
      </x:c>
    </x:row>
    <x:row r="84" ht="132" hidden="0" customHeight="1">
      <x:c r="A84" s="18" t="str">
        <x:v>COL-028</x:v>
      </x:c>
      <x:c r="B84" s="18" t="str">
        <x:v>授权样本试点、灰度与回滚</x:v>
      </x:c>
      <x:c r="C84" s="18" t="str">
        <x:v>验收与发布</x:v>
      </x:c>
      <x:c r="D84" s="23" t="str">
        <x:v>P0</x:v>
      </x:c>
      <x:c r="E84" s="23" t="str">
        <x:v>M2</x:v>
      </x:c>
      <x:c r="F84" s="18" t="str">
        <x:v>QA/DevOps/产品</x:v>
      </x:c>
      <x:c r="G84" s="19" t="str">
        <x:v>loom-media</x:v>
      </x:c>
      <x:c r="H84" s="19" t="str">
        <x:v>阻塞</x:v>
      </x:c>
      <x:c r="I84" s="24" t="n">
        <x:v>1.5</x:v>
      </x:c>
      <x:c r="J84" s="26" t="str">
        <x:v>COL-024, COL-025, COL-026, COL-027, QA-001</x:v>
      </x:c>
      <x:c r="K84" s="26" t="n">
        <x:f>5-SUM(COUNTIFS('开发任务'!$A$7:$A$113,"COL-024",'开发任务'!$H$7:$H$113,"已完成"),COUNTIFS('开发任务'!$A$7:$A$113,"COL-025",'开发任务'!$H$7:$H$113,"已完成"),COUNTIFS('开发任务'!$A$7:$A$113,"COL-026",'开发任务'!$H$7:$H$113,"已完成"),COUNTIFS('开发任务'!$A$7:$A$113,"COL-027",'开发任务'!$H$7:$H$113,"已完成"),COUNTIFS('开发任务'!$A$7:$A$113,"QA-001",'开发任务'!$H$7:$H$113,"已完成"))</x:f>
        <x:v>5</x:v>
      </x:c>
      <x:c r="L84" s="18" t="str">
        <x:f>IF(H84="已完成","已完成",IF(D84="P2","后续规划",IF(H84="阻塞","处理阻塞",IF(H84="暂停","已暂停",IF(K84&gt;0,"等待依赖",IF(G84="","待指派",IF(H84="待验收","待验收","可推进")))))))</x:f>
        <x:v>处理阻塞</x:v>
      </x:c>
      <x:c r="M84" s="18" t="str">
        <x:v>R03 R27 R28</x:v>
      </x:c>
      <x:c r="N84" s="21"/>
      <x:c r="O84" s="21"/>
      <x:c r="P84" s="19" t="str"/>
      <x:c r="Q84" s="19" t="str">
        <x:v>【执行记录】
自身工程实现及范围化执行证据已核验（应用源码 ff03a18）；不等于原整项验收及依赖已签收。
原条款待输入：原授权测试workspace双平台样本、实际调度周期和小范围灰度结果；关闭开关/恢复的工程子项单独已证。
原直接依赖未签收：COL-024, COL-025, COL-026, COL-027, QA-001。这是验收依赖，不是未实现代码清单。
本任务证据、执行范围与边界见 V1-CLOSURE.md 和矩阵 COL-028。
逐条验收：阻塞 1，通过 1，执行中 1。</x:v>
      </x:c>
    </x:row>
    <x:row r="85" ht="95" hidden="0" customHeight="1">
      <x:c r="A85" s="16" t="str">
        <x:v>IF-029</x:v>
      </x:c>
      <x:c r="B85" s="16" t="str">
        <x:v>完成租户隔离、注入与权限回归</x:v>
      </x:c>
      <x:c r="C85" s="16" t="str">
        <x:v>验收与发布</x:v>
      </x:c>
      <x:c r="D85" s="22" t="str">
        <x:v>P0</x:v>
      </x:c>
      <x:c r="E85" s="22" t="str">
        <x:v>M2</x:v>
      </x:c>
      <x:c r="F85" s="16" t="str">
        <x:v>安全工程师/QA</x:v>
      </x:c>
      <x:c r="G85" s="19" t="str">
        <x:v>gateway-ui</x:v>
      </x:c>
      <x:c r="H85" s="19" t="str">
        <x:v>待验收</x:v>
      </x:c>
      <x:c r="I85" s="24" t="n">
        <x:v>2</x:v>
      </x:c>
      <x:c r="J85" s="25" t="str">
        <x:v>IF-004, IF-008, IF-010, IF-014, COL-026, K-030</x:v>
      </x:c>
      <x:c r="K85" s="25" t="n">
        <x:f>6-SUM(COUNTIFS('开发任务'!$A$7:$A$113,"IF-004",'开发任务'!$H$7:$H$113,"已完成"),COUNTIFS('开发任务'!$A$7:$A$113,"IF-008",'开发任务'!$H$7:$H$113,"已完成"),COUNTIFS('开发任务'!$A$7:$A$113,"IF-010",'开发任务'!$H$7:$H$113,"已完成"),COUNTIFS('开发任务'!$A$7:$A$113,"IF-014",'开发任务'!$H$7:$H$113,"已完成"),COUNTIFS('开发任务'!$A$7:$A$113,"COL-026",'开发任务'!$H$7:$H$113,"已完成"),COUNTIFS('开发任务'!$A$7:$A$113,"K-030",'开发任务'!$H$7:$H$113,"已完成"))</x:f>
        <x:v>6</x:v>
      </x:c>
      <x:c r="L85" s="16" t="str">
        <x:f>IF(H85="已完成","已完成",IF(D85="P2","后续规划",IF(H85="阻塞","处理阻塞",IF(H85="暂停","已暂停",IF(K85&gt;0,"等待依赖",IF(G85="","待指派",IF(H85="待验收","待验收","可推进")))))))</x:f>
        <x:v>等待依赖</x:v>
      </x:c>
      <x:c r="M85" s="16" t="str">
        <x:v>R21 R22 R27</x:v>
      </x:c>
      <x:c r="N85" s="21"/>
      <x:c r="O85" s="21"/>
      <x:c r="P85" s="19" t="str"/>
      <x:c r="Q85" s="19" t="str">
        <x:v>【执行记录】
自身工程实现及范围化执行证据已核验（应用源码 ff03a18）；不等于原整项验收及依赖已签收。
原直接依赖未签收：IF-004, IF-008, IF-010, IF-014, COL-026, K-030。这是验收依赖，不是未实现代码清单。
本任务证据、执行范围与边界见 V1-CLOSURE.md 和矩阵 IF-029。
逐条验收：执行中 4。</x:v>
      </x:c>
    </x:row>
    <x:row r="86" ht="95" hidden="0" customHeight="1">
      <x:c r="A86" s="18" t="str">
        <x:v>K-030</x:v>
      </x:c>
      <x:c r="B86" s="18" t="str">
        <x:v>知识闭环定向验收与故障恢复样本集</x:v>
      </x:c>
      <x:c r="C86" s="18" t="str">
        <x:v>验收与发布</x:v>
      </x:c>
      <x:c r="D86" s="23" t="str">
        <x:v>P0</x:v>
      </x:c>
      <x:c r="E86" s="23" t="str">
        <x:v>M2</x:v>
      </x:c>
      <x:c r="F86" s="18" t="str">
        <x:v>测试工程师/知识工程师</x:v>
      </x:c>
      <x:c r="G86" s="19" t="str">
        <x:v>knowledge</x:v>
      </x:c>
      <x:c r="H86" s="19" t="str">
        <x:v>待验收</x:v>
      </x:c>
      <x:c r="I86" s="24" t="n">
        <x:v>3</x:v>
      </x:c>
      <x:c r="J86" s="26" t="str">
        <x:v>K-004, K-007, K-008, K-016, K-017, K-023, K-024, K-025, FND-003</x:v>
      </x:c>
      <x:c r="K86" s="26" t="n">
        <x:f>9-SUM(COUNTIFS('开发任务'!$A$7:$A$113,"K-004",'开发任务'!$H$7:$H$113,"已完成"),COUNTIFS('开发任务'!$A$7:$A$113,"K-007",'开发任务'!$H$7:$H$113,"已完成"),COUNTIFS('开发任务'!$A$7:$A$113,"K-008",'开发任务'!$H$7:$H$113,"已完成"),COUNTIFS('开发任务'!$A$7:$A$113,"K-016",'开发任务'!$H$7:$H$113,"已完成"),COUNTIFS('开发任务'!$A$7:$A$113,"K-017",'开发任务'!$H$7:$H$113,"已完成"),COUNTIFS('开发任务'!$A$7:$A$113,"K-023",'开发任务'!$H$7:$H$113,"已完成"),COUNTIFS('开发任务'!$A$7:$A$113,"K-024",'开发任务'!$H$7:$H$113,"已完成"),COUNTIFS('开发任务'!$A$7:$A$113,"K-025",'开发任务'!$H$7:$H$113,"已完成"),COUNTIFS('开发任务'!$A$7:$A$113,"FND-003",'开发任务'!$H$7:$H$113,"已完成"))</x:f>
        <x:v>9</x:v>
      </x:c>
      <x:c r="L86" s="18" t="str">
        <x:f>IF(H86="已完成","已完成",IF(D86="P2","后续规划",IF(H86="阻塞","处理阻塞",IF(H86="暂停","已暂停",IF(K86&gt;0,"等待依赖",IF(G86="","待指派",IF(H86="待验收","待验收","可推进")))))))</x:f>
        <x:v>等待依赖</x:v>
      </x:c>
      <x:c r="M86" s="18" t="str">
        <x:v>R27</x:v>
      </x:c>
      <x:c r="N86" s="21"/>
      <x:c r="O86" s="21"/>
      <x:c r="P86" s="19" t="str"/>
      <x:c r="Q86" s="19" t="str">
        <x:v>【执行记录】
自身工程实现及范围化执行证据已核验（应用源码 ff03a18）；不等于原整项验收及依赖已签收。
原直接依赖未签收：K-004, K-007, K-008, K-016, K-017, K-023, K-024, K-025, FND-003。这是验收依赖，不是未实现代码清单。
本任务证据、执行范围与边界见 V1-CLOSURE.md 和矩阵 K-030。
逐条验收：执行中 3。</x:v>
      </x:c>
    </x:row>
    <x:row r="87" ht="132" hidden="0" customHeight="1">
      <x:c r="A87" s="16" t="str">
        <x:v>QA-001</x:v>
      </x:c>
      <x:c r="B87" s="16" t="str">
        <x:v>验收基础闭环的真实宿主路径</x:v>
      </x:c>
      <x:c r="C87" s="16" t="str">
        <x:v>验收与发布</x:v>
      </x:c>
      <x:c r="D87" s="22" t="str">
        <x:v>P0</x:v>
      </x:c>
      <x:c r="E87" s="22" t="str">
        <x:v>M2</x:v>
      </x:c>
      <x:c r="F87" s="16" t="str">
        <x:v>QA/集成负责人</x:v>
      </x:c>
      <x:c r="G87" s="19" t="str">
        <x:v>integration</x:v>
      </x:c>
      <x:c r="H87" s="19" t="str">
        <x:v>阻塞</x:v>
      </x:c>
      <x:c r="I87" s="24" t="n">
        <x:v>2</x:v>
      </x:c>
      <x:c r="J87" s="25" t="str">
        <x:v>IF-013, IF-015, IF-022, IF-023, IF-027, IF-029, COL-027, K-030, FND-003</x:v>
      </x:c>
      <x:c r="K87" s="25" t="n">
        <x:f>9-SUM(COUNTIFS('开发任务'!$A$7:$A$113,"IF-013",'开发任务'!$H$7:$H$113,"已完成"),COUNTIFS('开发任务'!$A$7:$A$113,"IF-015",'开发任务'!$H$7:$H$113,"已完成"),COUNTIFS('开发任务'!$A$7:$A$113,"IF-022",'开发任务'!$H$7:$H$113,"已完成"),COUNTIFS('开发任务'!$A$7:$A$113,"IF-023",'开发任务'!$H$7:$H$113,"已完成"),COUNTIFS('开发任务'!$A$7:$A$113,"IF-027",'开发任务'!$H$7:$H$113,"已完成"),COUNTIFS('开发任务'!$A$7:$A$113,"IF-029",'开发任务'!$H$7:$H$113,"已完成"),COUNTIFS('开发任务'!$A$7:$A$113,"COL-027",'开发任务'!$H$7:$H$113,"已完成"),COUNTIFS('开发任务'!$A$7:$A$113,"K-030",'开发任务'!$H$7:$H$113,"已完成"),COUNTIFS('开发任务'!$A$7:$A$113,"FND-003",'开发任务'!$H$7:$H$113,"已完成"))</x:f>
        <x:v>9</x:v>
      </x:c>
      <x:c r="L87" s="16" t="str">
        <x:f>IF(H87="已完成","已完成",IF(D87="P2","后续规划",IF(H87="阻塞","处理阻塞",IF(H87="暂停","已暂停",IF(K87&gt;0,"等待依赖",IF(G87="","待指派",IF(H87="待验收","待验收","可推进")))))))</x:f>
        <x:v>处理阻塞</x:v>
      </x:c>
      <x:c r="M87" s="16" t="str">
        <x:v>R02 R03 R15 R16 R17 R18 R20 R27</x:v>
      </x:c>
      <x:c r="N87" s="21"/>
      <x:c r="O87" s="21"/>
      <x:c r="P87" s="19" t="str"/>
      <x:c r="Q87" s="19" t="str">
        <x:v>【执行记录】
自身工程实现及范围化执行证据已核验（应用源码 ff03a18）；不等于原整项验收及依赖已签收。
原条款待输入：原真实双平台手工/MCP/账号定时完整样本验收；原生宿主Agent/Canvas不能再列未实现。
原直接依赖未签收：IF-013, IF-015, IF-022, IF-023, IF-027, IF-029, COL-027, K-030, FND-003。这是验收依赖，不是未实现代码清单。
本任务证据、执行范围与边界见 V1-CLOSURE.md 和矩阵 QA-001。
逐条验收：阻塞 1。</x:v>
      </x:c>
    </x:row>
    <x:row r="88" ht="82" hidden="0" customHeight="1">
      <x:c r="A88" s="18" t="str">
        <x:v>K-010</x:v>
      </x:c>
      <x:c r="B88" s="18" t="str">
        <x:v>隔离BiliNote抽帧处理工作目录</x:v>
      </x:c>
      <x:c r="C88" s="18" t="str">
        <x:v>内容处理与证据</x:v>
      </x:c>
      <x:c r="D88" s="23" t="str">
        <x:v>P1</x:v>
      </x:c>
      <x:c r="E88" s="23" t="str">
        <x:v>M3</x:v>
      </x:c>
      <x:c r="F88" s="18" t="str">
        <x:v>媒体工程师</x:v>
      </x:c>
      <x:c r="G88" s="19" t="str">
        <x:v>knowledge</x:v>
      </x:c>
      <x:c r="H88" s="19" t="str">
        <x:v>待验收</x:v>
      </x:c>
      <x:c r="I88" s="24" t="n">
        <x:v>1</x:v>
      </x:c>
      <x:c r="J88" s="26" t="str">
        <x:v>K-003</x:v>
      </x:c>
      <x:c r="K88" s="26" t="n">
        <x:f>1-SUM(COUNTIFS('开发任务'!$A$7:$A$113,"K-003",'开发任务'!$H$7:$H$113,"已完成"))</x:f>
        <x:v>1</x:v>
      </x:c>
      <x:c r="L88" s="18" t="str">
        <x:f>IF(H88="已完成","已完成",IF(D88="P2","后续规划",IF(H88="阻塞","处理阻塞",IF(H88="暂停","已暂停",IF(K88&gt;0,"等待依赖",IF(G88="","待指派",IF(H88="待验收","待验收","可推进")))))))</x:f>
        <x:v>等待依赖</x:v>
      </x:c>
      <x:c r="M88" s="18" t="str">
        <x:v>R09 R22</x:v>
      </x:c>
      <x:c r="N88" s="21"/>
      <x:c r="O88" s="21"/>
      <x:c r="P88" s="19" t="str"/>
      <x:c r="Q88" s="19" t="str">
        <x:v>【执行记录】
自身工程实现及范围化执行证据已核验（应用源码 ff03a18）；不等于原整项验收及依赖已签收。
原直接依赖未签收：K-003。这是验收依赖，不是未实现代码清单。
本任务证据、执行范围与边界见 V1-CLOSURE.md 和矩阵 K-010。
逐条验收：执行中 3。</x:v>
      </x:c>
    </x:row>
    <x:row r="89" ht="95" hidden="0" customHeight="1">
      <x:c r="A89" s="16" t="str">
        <x:v>K-011</x:v>
      </x:c>
      <x:c r="B89" s="16" t="str">
        <x:v>抽帧策略、尾组保留与视觉覆盖披露</x:v>
      </x:c>
      <x:c r="C89" s="16" t="str">
        <x:v>内容处理与证据</x:v>
      </x:c>
      <x:c r="D89" s="22" t="str">
        <x:v>P1</x:v>
      </x:c>
      <x:c r="E89" s="22" t="str">
        <x:v>M3</x:v>
      </x:c>
      <x:c r="F89" s="16" t="str">
        <x:v>媒体工程师/知识工程师</x:v>
      </x:c>
      <x:c r="G89" s="19" t="str">
        <x:v>knowledge</x:v>
      </x:c>
      <x:c r="H89" s="19" t="str">
        <x:v>待验收</x:v>
      </x:c>
      <x:c r="I89" s="24" t="n">
        <x:v>2</x:v>
      </x:c>
      <x:c r="J89" s="25" t="str">
        <x:v>K-001, K-010</x:v>
      </x:c>
      <x:c r="K89" s="25" t="n">
        <x:f>2-SUM(COUNTIFS('开发任务'!$A$7:$A$113,"K-001",'开发任务'!$H$7:$H$113,"已完成"),COUNTIFS('开发任务'!$A$7:$A$113,"K-010",'开发任务'!$H$7:$H$113,"已完成"))</x:f>
        <x:v>2</x:v>
      </x:c>
      <x:c r="L89" s="16" t="str">
        <x:f>IF(H89="已完成","已完成",IF(D89="P2","后续规划",IF(H89="阻塞","处理阻塞",IF(H89="暂停","已暂停",IF(K89&gt;0,"等待依赖",IF(G89="","待指派",IF(H89="待验收","待验收","可推进")))))))</x:f>
        <x:v>等待依赖</x:v>
      </x:c>
      <x:c r="M89" s="16" t="str">
        <x:v>R09</x:v>
      </x:c>
      <x:c r="N89" s="21"/>
      <x:c r="O89" s="21"/>
      <x:c r="P89" s="19" t="str"/>
      <x:c r="Q89" s="19" t="str">
        <x:v>【执行记录】
自身工程实现及范围化执行证据已核验（应用源码 ff03a18）；不等于原整项验收及依赖已签收。
原直接依赖未签收：K-001, K-010。这是验收依赖，不是未实现代码清单。
本任务证据、执行范围与边界见 V1-CLOSURE.md 和矩阵 K-011。
逐条验收：执行中 3。</x:v>
      </x:c>
    </x:row>
    <x:row r="90" ht="95" hidden="0" customHeight="1">
      <x:c r="A90" s="18" t="str">
        <x:v>K-012</x:v>
      </x:c>
      <x:c r="B90" s="18" t="str">
        <x:v>复用宿主OCR并保存帧级文字证据</x:v>
      </x:c>
      <x:c r="C90" s="18" t="str">
        <x:v>内容处理与证据</x:v>
      </x:c>
      <x:c r="D90" s="23" t="str">
        <x:v>P1</x:v>
      </x:c>
      <x:c r="E90" s="23" t="str">
        <x:v>M3</x:v>
      </x:c>
      <x:c r="F90" s="18" t="str">
        <x:v>媒体工程师/后端工程师</x:v>
      </x:c>
      <x:c r="G90" s="19" t="str">
        <x:v>knowledge</x:v>
      </x:c>
      <x:c r="H90" s="19" t="str">
        <x:v>待验收</x:v>
      </x:c>
      <x:c r="I90" s="24" t="n">
        <x:v>1.5</x:v>
      </x:c>
      <x:c r="J90" s="26" t="str">
        <x:v>K-003, K-011</x:v>
      </x:c>
      <x:c r="K90" s="26" t="n">
        <x:f>2-SUM(COUNTIFS('开发任务'!$A$7:$A$113,"K-003",'开发任务'!$H$7:$H$113,"已完成"),COUNTIFS('开发任务'!$A$7:$A$113,"K-011",'开发任务'!$H$7:$H$113,"已完成"))</x:f>
        <x:v>2</x:v>
      </x:c>
      <x:c r="L90" s="18" t="str">
        <x:f>IF(H90="已完成","已完成",IF(D90="P2","后续规划",IF(H90="阻塞","处理阻塞",IF(H90="暂停","已暂停",IF(K90&gt;0,"等待依赖",IF(G90="","待指派",IF(H90="待验收","待验收","可推进")))))))</x:f>
        <x:v>等待依赖</x:v>
      </x:c>
      <x:c r="M90" s="18" t="str">
        <x:v>R09 R11</x:v>
      </x:c>
      <x:c r="N90" s="21"/>
      <x:c r="O90" s="21"/>
      <x:c r="P90" s="19" t="str"/>
      <x:c r="Q90" s="19" t="str">
        <x:v>【执行记录】
自身工程实现及范围化执行证据已核验（应用源码 ff03a18）；不等于原整项验收及依赖已签收。
原直接依赖未签收：K-003, K-011。这是验收依赖，不是未实现代码清单。
本任务证据、执行范围与边界见 V1-CLOSURE.md 和矩阵 K-012。
逐条验收：执行中 3。</x:v>
      </x:c>
    </x:row>
    <x:row r="91" ht="95" hidden="0" customHeight="1">
      <x:c r="A91" s="16" t="str">
        <x:v>K-013</x:v>
      </x:c>
      <x:c r="B91" s="16" t="str">
        <x:v>VLM视觉观察与推断分类型输出</x:v>
      </x:c>
      <x:c r="C91" s="16" t="str">
        <x:v>内容处理与证据</x:v>
      </x:c>
      <x:c r="D91" s="22" t="str">
        <x:v>P1</x:v>
      </x:c>
      <x:c r="E91" s="22" t="str">
        <x:v>M3</x:v>
      </x:c>
      <x:c r="F91" s="16" t="str">
        <x:v>多模态工程师/知识工程师</x:v>
      </x:c>
      <x:c r="G91" s="19" t="str">
        <x:v>knowledge</x:v>
      </x:c>
      <x:c r="H91" s="19" t="str">
        <x:v>待验收</x:v>
      </x:c>
      <x:c r="I91" s="24" t="n">
        <x:v>2.5</x:v>
      </x:c>
      <x:c r="J91" s="25" t="str">
        <x:v>K-011, K-012</x:v>
      </x:c>
      <x:c r="K91" s="25" t="n">
        <x:f>2-SUM(COUNTIFS('开发任务'!$A$7:$A$113,"K-011",'开发任务'!$H$7:$H$113,"已完成"),COUNTIFS('开发任务'!$A$7:$A$113,"K-012",'开发任务'!$H$7:$H$113,"已完成"))</x:f>
        <x:v>2</x:v>
      </x:c>
      <x:c r="L91" s="16" t="str">
        <x:f>IF(H91="已完成","已完成",IF(D91="P2","后续规划",IF(H91="阻塞","处理阻塞",IF(H91="暂停","已暂停",IF(K91&gt;0,"等待依赖",IF(G91="","待指派",IF(H91="待验收","待验收","可推进")))))))</x:f>
        <x:v>等待依赖</x:v>
      </x:c>
      <x:c r="M91" s="16" t="str">
        <x:v>R09 R13</x:v>
      </x:c>
      <x:c r="N91" s="21"/>
      <x:c r="O91" s="21"/>
      <x:c r="P91" s="19" t="str"/>
      <x:c r="Q91" s="19" t="str">
        <x:v>【执行记录】
自身工程实现及范围化执行证据已核验（应用源码 ff03a18）；不等于原整项验收及依赖已签收。
原直接依赖未签收：K-011, K-012。这是验收依赖，不是未实现代码清单。
本任务证据、执行范围与边界见 V1-CLOSURE.md 和矩阵 K-013。
逐条验收：执行中 3。</x:v>
      </x:c>
    </x:row>
    <x:row r="92" ht="95" hidden="0" customHeight="1">
      <x:c r="A92" s="18" t="str">
        <x:v>K-014</x:v>
      </x:c>
      <x:c r="B92" s="18" t="str">
        <x:v>抽取BiliNote分段总结能力并接宿主网关</x:v>
      </x:c>
      <x:c r="C92" s="18" t="str">
        <x:v>内容处理与证据</x:v>
      </x:c>
      <x:c r="D92" s="23" t="str">
        <x:v>P1</x:v>
      </x:c>
      <x:c r="E92" s="23" t="str">
        <x:v>M3</x:v>
      </x:c>
      <x:c r="F92" s="18" t="str">
        <x:v>多模态工程师/后端工程师</x:v>
      </x:c>
      <x:c r="G92" s="19" t="str">
        <x:v>knowledge</x:v>
      </x:c>
      <x:c r="H92" s="19" t="str">
        <x:v>待验收</x:v>
      </x:c>
      <x:c r="I92" s="24" t="n">
        <x:v>2.5</x:v>
      </x:c>
      <x:c r="J92" s="26" t="str">
        <x:v>K-003, K-007, K-013</x:v>
      </x:c>
      <x:c r="K92" s="26" t="n">
        <x:f>3-SUM(COUNTIFS('开发任务'!$A$7:$A$113,"K-003",'开发任务'!$H$7:$H$113,"已完成"),COUNTIFS('开发任务'!$A$7:$A$113,"K-007",'开发任务'!$H$7:$H$113,"已完成"),COUNTIFS('开发任务'!$A$7:$A$113,"K-013",'开发任务'!$H$7:$H$113,"已完成"))</x:f>
        <x:v>3</x:v>
      </x:c>
      <x:c r="L92" s="18" t="str">
        <x:f>IF(H92="已完成","已完成",IF(D92="P2","后续规划",IF(H92="阻塞","处理阻塞",IF(H92="暂停","已暂停",IF(K92&gt;0,"等待依赖",IF(G92="","待指派",IF(H92="待验收","待验收","可推进")))))))</x:f>
        <x:v>等待依赖</x:v>
      </x:c>
      <x:c r="M92" s="18" t="str">
        <x:v>R09 R13</x:v>
      </x:c>
      <x:c r="N92" s="21"/>
      <x:c r="O92" s="21"/>
      <x:c r="P92" s="19" t="str"/>
      <x:c r="Q92" s="19" t="str">
        <x:v>【执行记录】
自身工程实现及范围化执行证据已核验（应用源码 ff03a18）；不等于原整项验收及依赖已签收。
原直接依赖未签收：K-003, K-007, K-013。这是验收依赖，不是未实现代码清单。
本任务证据、执行范围与边界见 V1-CLOSURE.md 和矩阵 K-014。
逐条验收：执行中 3。</x:v>
      </x:c>
    </x:row>
    <x:row r="93" ht="95" hidden="0" customHeight="1">
      <x:c r="A93" s="16" t="str">
        <x:v>K-015</x:v>
      </x:c>
      <x:c r="B93" s="16" t="str">
        <x:v>对齐语音、OCR与视觉证据并处理冲突</x:v>
      </x:c>
      <x:c r="C93" s="16" t="str">
        <x:v>内容处理与证据</x:v>
      </x:c>
      <x:c r="D93" s="22" t="str">
        <x:v>P1</x:v>
      </x:c>
      <x:c r="E93" s="22" t="str">
        <x:v>M3</x:v>
      </x:c>
      <x:c r="F93" s="16" t="str">
        <x:v>知识工程师/后端工程师</x:v>
      </x:c>
      <x:c r="G93" s="19" t="str">
        <x:v>knowledge</x:v>
      </x:c>
      <x:c r="H93" s="19" t="str">
        <x:v>待验收</x:v>
      </x:c>
      <x:c r="I93" s="24" t="n">
        <x:v>2</x:v>
      </x:c>
      <x:c r="J93" s="25" t="str">
        <x:v>K-008, K-012, K-013</x:v>
      </x:c>
      <x:c r="K93" s="25" t="n">
        <x:f>3-SUM(COUNTIFS('开发任务'!$A$7:$A$113,"K-008",'开发任务'!$H$7:$H$113,"已完成"),COUNTIFS('开发任务'!$A$7:$A$113,"K-012",'开发任务'!$H$7:$H$113,"已完成"),COUNTIFS('开发任务'!$A$7:$A$113,"K-013",'开发任务'!$H$7:$H$113,"已完成"))</x:f>
        <x:v>3</x:v>
      </x:c>
      <x:c r="L93" s="16" t="str">
        <x:f>IF(H93="已完成","已完成",IF(D93="P2","后续规划",IF(H93="阻塞","处理阻塞",IF(H93="暂停","已暂停",IF(K93&gt;0,"等待依赖",IF(G93="","待指派",IF(H93="待验收","待验收","可推进")))))))</x:f>
        <x:v>等待依赖</x:v>
      </x:c>
      <x:c r="M93" s="16" t="str">
        <x:v>R09 R11 R14</x:v>
      </x:c>
      <x:c r="N93" s="21"/>
      <x:c r="O93" s="21"/>
      <x:c r="P93" s="19" t="str"/>
      <x:c r="Q93" s="19" t="str">
        <x:v>【执行记录】
自身工程实现及范围化执行证据已核验（应用源码 ff03a18）；不等于原整项验收及依赖已签收。
原直接依赖未签收：K-008, K-012, K-013。这是验收依赖，不是未实现代码清单。
本任务证据、执行范围与边界见 V1-CLOSURE.md 和矩阵 K-015。
逐条验收：执行中 3。</x:v>
      </x:c>
    </x:row>
    <x:row r="94" ht="120" hidden="0" customHeight="1">
      <x:c r="A94" s="18" t="str">
        <x:v>K-020</x:v>
      </x:c>
      <x:c r="B94" s="18" t="str">
        <x:v>近重复视频与来源独立性治理</x:v>
      </x:c>
      <x:c r="C94" s="18" t="str">
        <x:v>知识整理与治理</x:v>
      </x:c>
      <x:c r="D94" s="23" t="str">
        <x:v>P1</x:v>
      </x:c>
      <x:c r="E94" s="23" t="str">
        <x:v>M3</x:v>
      </x:c>
      <x:c r="F94" s="18" t="str">
        <x:v>知识工程师/检索工程师</x:v>
      </x:c>
      <x:c r="G94" s="19" t="str">
        <x:v>knowledge</x:v>
      </x:c>
      <x:c r="H94" s="19" t="str">
        <x:v>阻塞</x:v>
      </x:c>
      <x:c r="I94" s="24" t="n">
        <x:v>2.5</x:v>
      </x:c>
      <x:c r="J94" s="26" t="str">
        <x:v>K-019, K-021</x:v>
      </x:c>
      <x:c r="K94" s="26" t="n">
        <x:f>2-SUM(COUNTIFS('开发任务'!$A$7:$A$113,"K-019",'开发任务'!$H$7:$H$113,"已完成"),COUNTIFS('开发任务'!$A$7:$A$113,"K-021",'开发任务'!$H$7:$H$113,"已完成"))</x:f>
        <x:v>2</x:v>
      </x:c>
      <x:c r="L94" s="18" t="str">
        <x:f>IF(H94="已完成","已完成",IF(D94="P2","后续规划",IF(H94="阻塞","处理阻塞",IF(H94="暂停","已暂停",IF(K94&gt;0,"等待依赖",IF(G94="","待指派",IF(H94="待验收","待验收","可推进")))))))</x:f>
        <x:v>处理阻塞</x:v>
      </x:c>
      <x:c r="M94" s="18" t="str">
        <x:v>R14</x:v>
      </x:c>
      <x:c r="N94" s="21"/>
      <x:c r="O94" s="21"/>
      <x:c r="P94" s="19" t="str"/>
      <x:c r="Q94" s="19" t="str">
        <x:v>【执行记录】
自身工程实现及范围化执行证据已核验（应用源码 ff03a18）；不等于原整项验收及依赖已签收。
原条款待输入：原验收中的授权正负样本匹配阈值校准；转载不计独立佐证、人工拆分和审计的工程门禁单独已证。
原直接依赖未签收：K-019, K-021。这是验收依赖，不是未实现代码清单。
本任务证据、执行范围与边界见 V1-CLOSURE.md 和矩阵 K-020。
逐条验收：通过 2，阻塞 1。</x:v>
      </x:c>
    </x:row>
    <x:row r="95" ht="95" hidden="0" customHeight="1">
      <x:c r="A95" s="16" t="str">
        <x:v>K-029</x:v>
      </x:c>
      <x:c r="B95" s="16" t="str">
        <x:v>多源冲突与知识更新审阅</x:v>
      </x:c>
      <x:c r="C95" s="16" t="str">
        <x:v>知识整理与治理</x:v>
      </x:c>
      <x:c r="D95" s="22" t="str">
        <x:v>P1</x:v>
      </x:c>
      <x:c r="E95" s="22" t="str">
        <x:v>M3</x:v>
      </x:c>
      <x:c r="F95" s="16" t="str">
        <x:v>知识工程师/后端工程师</x:v>
      </x:c>
      <x:c r="G95" s="19" t="str">
        <x:v>knowledge</x:v>
      </x:c>
      <x:c r="H95" s="19" t="str">
        <x:v>待验收</x:v>
      </x:c>
      <x:c r="I95" s="24" t="n">
        <x:v>2.5</x:v>
      </x:c>
      <x:c r="J95" s="25" t="str">
        <x:v>K-020, K-023, K-024</x:v>
      </x:c>
      <x:c r="K95" s="25" t="n">
        <x:f>3-SUM(COUNTIFS('开发任务'!$A$7:$A$113,"K-020",'开发任务'!$H$7:$H$113,"已完成"),COUNTIFS('开发任务'!$A$7:$A$113,"K-023",'开发任务'!$H$7:$H$113,"已完成"),COUNTIFS('开发任务'!$A$7:$A$113,"K-024",'开发任务'!$H$7:$H$113,"已完成"))</x:f>
        <x:v>3</x:v>
      </x:c>
      <x:c r="L95" s="16" t="str">
        <x:f>IF(H95="已完成","已完成",IF(D95="P2","后续规划",IF(H95="阻塞","处理阻塞",IF(H95="暂停","已暂停",IF(K95&gt;0,"等待依赖",IF(G95="","待指派",IF(H95="待验收","待验收","可推进")))))))</x:f>
        <x:v>等待依赖</x:v>
      </x:c>
      <x:c r="M95" s="16" t="str">
        <x:v>R14 R15</x:v>
      </x:c>
      <x:c r="N95" s="21"/>
      <x:c r="O95" s="21"/>
      <x:c r="P95" s="19" t="str"/>
      <x:c r="Q95" s="19" t="str">
        <x:v>【执行记录】
自身工程实现及范围化执行证据已核验（应用源码 ff03a18）；不等于原整项验收及依赖已签收。
原直接依赖未签收：K-020, K-023, K-024。这是验收依赖，不是未实现代码清单。
本任务证据、执行范围与边界见 V1-CLOSURE.md 和矩阵 K-029。
逐条验收：执行中 3。</x:v>
      </x:c>
    </x:row>
    <x:row r="96" ht="95" hidden="0" customHeight="1">
      <x:c r="A96" s="18" t="str">
        <x:v>IF-025</x:v>
      </x:c>
      <x:c r="B96" s="18" t="str">
        <x:v>实现候选Skill版本与评测审阅UI</x:v>
      </x:c>
      <x:c r="C96" s="18" t="str">
        <x:v>行业Skill</x:v>
      </x:c>
      <x:c r="D96" s="23" t="str">
        <x:v>P1</x:v>
      </x:c>
      <x:c r="E96" s="23" t="str">
        <x:v>M3</x:v>
      </x:c>
      <x:c r="F96" s="18" t="str">
        <x:v>前端工程师/Agent产品</x:v>
      </x:c>
      <x:c r="G96" s="19" t="str">
        <x:v>gateway-ui</x:v>
      </x:c>
      <x:c r="H96" s="19" t="str">
        <x:v>待验收</x:v>
      </x:c>
      <x:c r="I96" s="24" t="n">
        <x:v>2</x:v>
      </x:c>
      <x:c r="J96" s="26" t="str">
        <x:v>IF-020, IF-015, K-028, K-029</x:v>
      </x:c>
      <x:c r="K96" s="26" t="n">
        <x:f>4-SUM(COUNTIFS('开发任务'!$A$7:$A$113,"IF-020",'开发任务'!$H$7:$H$113,"已完成"),COUNTIFS('开发任务'!$A$7:$A$113,"IF-015",'开发任务'!$H$7:$H$113,"已完成"),COUNTIFS('开发任务'!$A$7:$A$113,"K-028",'开发任务'!$H$7:$H$113,"已完成"),COUNTIFS('开发任务'!$A$7:$A$113,"K-029",'开发任务'!$H$7:$H$113,"已完成"))</x:f>
        <x:v>4</x:v>
      </x:c>
      <x:c r="L96" s="18" t="str">
        <x:f>IF(H96="已完成","已完成",IF(D96="P2","后续规划",IF(H96="阻塞","处理阻塞",IF(H96="暂停","已暂停",IF(K96&gt;0,"等待依赖",IF(G96="","待指派",IF(H96="待验收","待验收","可推进")))))))</x:f>
        <x:v>等待依赖</x:v>
      </x:c>
      <x:c r="M96" s="18" t="str">
        <x:v>R19 R20</x:v>
      </x:c>
      <x:c r="N96" s="21"/>
      <x:c r="O96" s="21"/>
      <x:c r="P96" s="19" t="str"/>
      <x:c r="Q96" s="19" t="str">
        <x:v>【执行记录】
自身工程实现及范围化执行证据已核验（应用源码 ff03a18）；不等于原整项验收及依赖已签收。
原直接依赖未签收：IF-020, IF-015, K-028, K-029。这是验收依赖，不是未实现代码清单。
本任务证据、执行范围与边界见 V1-CLOSURE.md 和矩阵 IF-025。
逐条验收：执行中 4。</x:v>
      </x:c>
    </x:row>
    <x:row r="97" ht="95" hidden="0" customHeight="1">
      <x:c r="A97" s="16" t="str">
        <x:v>IF-026</x:v>
      </x:c>
      <x:c r="B97" s="16" t="str">
        <x:v>实现源控发布包与安装状态追踪</x:v>
      </x:c>
      <x:c r="C97" s="16" t="str">
        <x:v>行业Skill</x:v>
      </x:c>
      <x:c r="D97" s="22" t="str">
        <x:v>P1</x:v>
      </x:c>
      <x:c r="E97" s="22" t="str">
        <x:v>M3</x:v>
      </x:c>
      <x:c r="F97" s="16" t="str">
        <x:v>前端工程师/Go后端/运维</x:v>
      </x:c>
      <x:c r="G97" s="19" t="str">
        <x:v>gateway-ui</x:v>
      </x:c>
      <x:c r="H97" s="19" t="str">
        <x:v>待验收</x:v>
      </x:c>
      <x:c r="I97" s="24" t="n">
        <x:v>2</x:v>
      </x:c>
      <x:c r="J97" s="25" t="str">
        <x:v>IF-025, K-028, K-026, QA-002</x:v>
      </x:c>
      <x:c r="K97" s="25" t="n">
        <x:f>4-SUM(COUNTIFS('开发任务'!$A$7:$A$113,"IF-025",'开发任务'!$H$7:$H$113,"已完成"),COUNTIFS('开发任务'!$A$7:$A$113,"K-028",'开发任务'!$H$7:$H$113,"已完成"),COUNTIFS('开发任务'!$A$7:$A$113,"K-026",'开发任务'!$H$7:$H$113,"已完成"),COUNTIFS('开发任务'!$A$7:$A$113,"QA-002",'开发任务'!$H$7:$H$113,"已完成"))</x:f>
        <x:v>4</x:v>
      </x:c>
      <x:c r="L97" s="16" t="str">
        <x:f>IF(H97="已完成","已完成",IF(D97="P2","后续规划",IF(H97="阻塞","处理阻塞",IF(H97="暂停","已暂停",IF(K97&gt;0,"等待依赖",IF(G97="","待指派",IF(H97="待验收","待验收","可推进")))))))</x:f>
        <x:v>等待依赖</x:v>
      </x:c>
      <x:c r="M97" s="16" t="str">
        <x:v>R19 R20 R25</x:v>
      </x:c>
      <x:c r="N97" s="21"/>
      <x:c r="O97" s="21"/>
      <x:c r="P97" s="19" t="str"/>
      <x:c r="Q97" s="19" t="str">
        <x:v>【执行记录】
自身工程实现及范围化执行证据已核验（应用源码 ff03a18）；不等于原整项验收及依赖已签收。
原直接依赖未签收：IF-025, K-028, K-026, QA-002。这是验收依赖，不是未实现代码清单。
本任务证据、执行范围与边界见 V1-CLOSURE.md 和矩阵 IF-026。
逐条验收：执行中 4。</x:v>
      </x:c>
    </x:row>
    <x:row r="98" ht="95" hidden="0" customHeight="1">
      <x:c r="A98" s="18" t="str">
        <x:v>K-028</x:v>
      </x:c>
      <x:c r="B98" s="18" t="str">
        <x:v>Skill候选版本、评测与源控发布包</x:v>
      </x:c>
      <x:c r="C98" s="18" t="str">
        <x:v>行业Skill</x:v>
      </x:c>
      <x:c r="D98" s="23" t="str">
        <x:v>P1</x:v>
      </x:c>
      <x:c r="E98" s="23" t="str">
        <x:v>M3</x:v>
      </x:c>
      <x:c r="F98" s="18" t="str">
        <x:v>Agent工程师/知识工程师</x:v>
      </x:c>
      <x:c r="G98" s="19" t="str">
        <x:v>knowledge</x:v>
      </x:c>
      <x:c r="H98" s="19" t="str">
        <x:v>待验收</x:v>
      </x:c>
      <x:c r="I98" s="24" t="n">
        <x:v>3</x:v>
      </x:c>
      <x:c r="J98" s="26" t="str">
        <x:v>K-024, K-026, K-027, K-029</x:v>
      </x:c>
      <x:c r="K98" s="26" t="n">
        <x:f>4-SUM(COUNTIFS('开发任务'!$A$7:$A$113,"K-024",'开发任务'!$H$7:$H$113,"已完成"),COUNTIFS('开发任务'!$A$7:$A$113,"K-026",'开发任务'!$H$7:$H$113,"已完成"),COUNTIFS('开发任务'!$A$7:$A$113,"K-027",'开发任务'!$H$7:$H$113,"已完成"),COUNTIFS('开发任务'!$A$7:$A$113,"K-029",'开发任务'!$H$7:$H$113,"已完成"))</x:f>
        <x:v>4</x:v>
      </x:c>
      <x:c r="L98" s="18" t="str">
        <x:f>IF(H98="已完成","已完成",IF(D98="P2","后续规划",IF(H98="阻塞","处理阻塞",IF(H98="暂停","已暂停",IF(K98&gt;0,"等待依赖",IF(G98="","待指派",IF(H98="待验收","待验收","可推进")))))))</x:f>
        <x:v>等待依赖</x:v>
      </x:c>
      <x:c r="M98" s="18" t="str">
        <x:v>R19</x:v>
      </x:c>
      <x:c r="N98" s="21"/>
      <x:c r="O98" s="21"/>
      <x:c r="P98" s="19" t="str"/>
      <x:c r="Q98" s="19" t="str">
        <x:v>【执行记录】
自身工程实现及范围化执行证据已核验（应用源码 ff03a18）；不等于原整项验收及依赖已签收。
原直接依赖未签收：K-024, K-026, K-027, K-029。这是验收依赖，不是未实现代码清单。
本任务证据、执行范围与边界见 V1-CLOSURE.md 和矩阵 K-028。
逐条验收：执行中 4。</x:v>
      </x:c>
    </x:row>
    <x:row r="99" ht="95" hidden="0" customHeight="1">
      <x:c r="A99" s="16" t="str">
        <x:v>IF-024</x:v>
      </x:c>
      <x:c r="B99" s="16" t="str">
        <x:v>扩展帧、OCR与视觉观察证据时轴</x:v>
      </x:c>
      <x:c r="C99" s="16" t="str">
        <x:v>宿主界面</x:v>
      </x:c>
      <x:c r="D99" s="22" t="str">
        <x:v>P1</x:v>
      </x:c>
      <x:c r="E99" s="22" t="str">
        <x:v>M3</x:v>
      </x:c>
      <x:c r="F99" s="16" t="str">
        <x:v>前端工程师</x:v>
      </x:c>
      <x:c r="G99" s="19" t="str">
        <x:v>gateway-ui</x:v>
      </x:c>
      <x:c r="H99" s="19" t="str">
        <x:v>待验收</x:v>
      </x:c>
      <x:c r="I99" s="24" t="n">
        <x:v>2</x:v>
      </x:c>
      <x:c r="J99" s="25" t="str">
        <x:v>IF-021, IF-022, K-011, K-012, K-013, K-015</x:v>
      </x:c>
      <x:c r="K99" s="25" t="n">
        <x:f>6-SUM(COUNTIFS('开发任务'!$A$7:$A$113,"IF-021",'开发任务'!$H$7:$H$113,"已完成"),COUNTIFS('开发任务'!$A$7:$A$113,"IF-022",'开发任务'!$H$7:$H$113,"已完成"),COUNTIFS('开发任务'!$A$7:$A$113,"K-011",'开发任务'!$H$7:$H$113,"已完成"),COUNTIFS('开发任务'!$A$7:$A$113,"K-012",'开发任务'!$H$7:$H$113,"已完成"),COUNTIFS('开发任务'!$A$7:$A$113,"K-013",'开发任务'!$H$7:$H$113,"已完成"),COUNTIFS('开发任务'!$A$7:$A$113,"K-015",'开发任务'!$H$7:$H$113,"已完成"))</x:f>
        <x:v>6</x:v>
      </x:c>
      <x:c r="L99" s="16" t="str">
        <x:f>IF(H99="已完成","已完成",IF(D99="P2","后续规划",IF(H99="阻塞","处理阻塞",IF(H99="暂停","已暂停",IF(K99&gt;0,"等待依赖",IF(G99="","待指派",IF(H99="待验收","待验收","可推进")))))))</x:f>
        <x:v>等待依赖</x:v>
      </x:c>
      <x:c r="M99" s="16" t="str">
        <x:v>R09 R11 R20</x:v>
      </x:c>
      <x:c r="N99" s="21"/>
      <x:c r="O99" s="21"/>
      <x:c r="P99" s="19" t="str"/>
      <x:c r="Q99" s="19" t="str">
        <x:v>【执行记录】
自身工程实现及范围化执行证据已核验（应用源码 ff03a18）；不等于原整项验收及依赖已签收。
原直接依赖未签收：IF-021, IF-022, K-011, K-012, K-013, K-015。这是验收依赖，不是未实现代码清单。
本任务证据、执行范围与边界见 V1-CLOSURE.md 和矩阵 IF-024。
逐条验收：执行中 4。</x:v>
      </x:c>
    </x:row>
    <x:row r="100" ht="107" hidden="0" customHeight="1">
      <x:c r="A100" s="18" t="str">
        <x:v>COL-030</x:v>
      </x:c>
      <x:c r="B100" s="18" t="str">
        <x:v>持续覆盖核对与源修订处理</x:v>
      </x:c>
      <x:c r="C100" s="18" t="str">
        <x:v>运行与维护</x:v>
      </x:c>
      <x:c r="D100" s="23" t="str">
        <x:v>P1</x:v>
      </x:c>
      <x:c r="E100" s="23" t="str">
        <x:v>M3</x:v>
      </x:c>
      <x:c r="F100" s="18" t="str">
        <x:v>采集/知识后端</x:v>
      </x:c>
      <x:c r="G100" s="19" t="str">
        <x:v>loom-media</x:v>
      </x:c>
      <x:c r="H100" s="19" t="str">
        <x:v>待验收</x:v>
      </x:c>
      <x:c r="I100" s="24" t="n">
        <x:v>2.25</x:v>
      </x:c>
      <x:c r="J100" s="26" t="str">
        <x:v>COL-009, COL-010, COL-022, COL-028, K-016, K-025</x:v>
      </x:c>
      <x:c r="K100" s="26" t="n">
        <x:f>6-SUM(COUNTIFS('开发任务'!$A$7:$A$113,"COL-009",'开发任务'!$H$7:$H$113,"已完成"),COUNTIFS('开发任务'!$A$7:$A$113,"COL-010",'开发任务'!$H$7:$H$113,"已完成"),COUNTIFS('开发任务'!$A$7:$A$113,"COL-022",'开发任务'!$H$7:$H$113,"已完成"),COUNTIFS('开发任务'!$A$7:$A$113,"COL-028",'开发任务'!$H$7:$H$113,"已完成"),COUNTIFS('开发任务'!$A$7:$A$113,"K-016",'开发任务'!$H$7:$H$113,"已完成"),COUNTIFS('开发任务'!$A$7:$A$113,"K-025",'开发任务'!$H$7:$H$113,"已完成"))</x:f>
        <x:v>6</x:v>
      </x:c>
      <x:c r="L100" s="18" t="str">
        <x:f>IF(H100="已完成","已完成",IF(D100="P2","后续规划",IF(H100="阻塞","处理阻塞",IF(H100="暂停","已暂停",IF(K100&gt;0,"等待依赖",IF(G100="","待指派",IF(H100="待验收","待验收","可推进")))))))</x:f>
        <x:v>等待依赖</x:v>
      </x:c>
      <x:c r="M100" s="18" t="str">
        <x:v>R04 R10</x:v>
      </x:c>
      <x:c r="N100" s="21"/>
      <x:c r="O100" s="21"/>
      <x:c r="P100" s="19" t="str"/>
      <x:c r="Q100" s="19" t="str">
        <x:v>【执行记录】
自身工程实现及范围化执行证据已核验（应用源码 ff03a18）；不等于原整项验收及依赖已签收。
原直接依赖未签收：COL-009, COL-010, COL-022, COL-028, K-016, K-025。这是验收依赖，不是未实现代码清单。
本任务证据、执行范围与边界见 V1-CLOSURE.md 和矩阵 COL-030。
逐条验收：执行中 3。</x:v>
      </x:c>
    </x:row>
    <x:row r="101" ht="95" hidden="0" customHeight="1">
      <x:c r="A101" s="16" t="str">
        <x:v>QA-002</x:v>
      </x:c>
      <x:c r="B101" s="16" t="str">
        <x:v>接通Skill源控发布和历史版本保留</x:v>
      </x:c>
      <x:c r="C101" s="16" t="str">
        <x:v>验收与发布</x:v>
      </x:c>
      <x:c r="D101" s="22" t="str">
        <x:v>P1</x:v>
      </x:c>
      <x:c r="E101" s="22" t="str">
        <x:v>M3</x:v>
      </x:c>
      <x:c r="F101" s="16" t="str">
        <x:v>发布负责人/Go后端</x:v>
      </x:c>
      <x:c r="G101" s="19" t="str">
        <x:v>integration</x:v>
      </x:c>
      <x:c r="H101" s="19" t="str">
        <x:v>待验收</x:v>
      </x:c>
      <x:c r="I101" s="24" t="n">
        <x:v>1.5</x:v>
      </x:c>
      <x:c r="J101" s="25" t="str">
        <x:v>K-028, IF-015, FND-004</x:v>
      </x:c>
      <x:c r="K101" s="25" t="n">
        <x:f>3-SUM(COUNTIFS('开发任务'!$A$7:$A$113,"K-028",'开发任务'!$H$7:$H$113,"已完成"),COUNTIFS('开发任务'!$A$7:$A$113,"IF-015",'开发任务'!$H$7:$H$113,"已完成"),COUNTIFS('开发任务'!$A$7:$A$113,"FND-004",'开发任务'!$H$7:$H$113,"已完成"))</x:f>
        <x:v>3</x:v>
      </x:c>
      <x:c r="L101" s="16" t="str">
        <x:f>IF(H101="已完成","已完成",IF(D101="P2","后续规划",IF(H101="阻塞","处理阻塞",IF(H101="暂停","已暂停",IF(K101&gt;0,"等待依赖",IF(G101="","待指派",IF(H101="待验收","待验收","可推进")))))))</x:f>
        <x:v>等待依赖</x:v>
      </x:c>
      <x:c r="M101" s="16" t="str">
        <x:v>R19 R26 R28</x:v>
      </x:c>
      <x:c r="N101" s="21"/>
      <x:c r="O101" s="21"/>
      <x:c r="P101" s="19" t="str"/>
      <x:c r="Q101" s="19" t="str">
        <x:v>【执行记录】
自身工程实现及范围化执行证据已核验（应用源码 ff03a18）；不等于原整项验收及依赖已签收。
原直接依赖未签收：K-028, IF-015, FND-004。这是验收依赖，不是未实现代码清单。
本任务证据、执行范围与边界见 V1-CLOSURE.md 和矩阵 QA-002。
逐条验收：执行中 1。</x:v>
      </x:c>
    </x:row>
    <x:row r="102" ht="145" hidden="0" customHeight="1">
      <x:c r="A102" s="18" t="str">
        <x:v>COL-031</x:v>
      </x:c>
      <x:c r="B102" s="18" t="str">
        <x:v>完整V1容量基线与上游升级门禁</x:v>
      </x:c>
      <x:c r="C102" s="18" t="str">
        <x:v>运行与维护</x:v>
      </x:c>
      <x:c r="D102" s="23" t="str">
        <x:v>P1</x:v>
      </x:c>
      <x:c r="E102" s="23" t="str">
        <x:v>M4</x:v>
      </x:c>
      <x:c r="F102" s="18" t="str">
        <x:v>QA/运维/集成负责人</x:v>
      </x:c>
      <x:c r="G102" s="19" t="str">
        <x:v>loom-media</x:v>
      </x:c>
      <x:c r="H102" s="19" t="str">
        <x:v>阻塞</x:v>
      </x:c>
      <x:c r="I102" s="24" t="n">
        <x:v>1.5</x:v>
      </x:c>
      <x:c r="J102" s="26" t="str">
        <x:v>COL-028, COL-029, COL-030, IF-028, K-031, QA-002</x:v>
      </x:c>
      <x:c r="K102" s="26" t="n">
        <x:f>6-SUM(COUNTIFS('开发任务'!$A$7:$A$113,"COL-028",'开发任务'!$H$7:$H$113,"已完成"),COUNTIFS('开发任务'!$A$7:$A$113,"COL-029",'开发任务'!$H$7:$H$113,"已完成"),COUNTIFS('开发任务'!$A$7:$A$113,"COL-030",'开发任务'!$H$7:$H$113,"已完成"),COUNTIFS('开发任务'!$A$7:$A$113,"IF-028",'开发任务'!$H$7:$H$113,"已完成"),COUNTIFS('开发任务'!$A$7:$A$113,"K-031",'开发任务'!$H$7:$H$113,"已完成"),COUNTIFS('开发任务'!$A$7:$A$113,"QA-002",'开发任务'!$H$7:$H$113,"已完成"))</x:f>
        <x:v>6</x:v>
      </x:c>
      <x:c r="L102" s="18" t="str">
        <x:f>IF(H102="已完成","已完成",IF(D102="P2","后续规划",IF(H102="阻塞","处理阻塞",IF(H102="暂停","已暂停",IF(K102&gt;0,"等待依赖",IF(G102="","待指派",IF(H102="待验收","待验收","可推进")))))))</x:f>
        <x:v>处理阻塞</x:v>
      </x:c>
      <x:c r="M102" s="18" t="str">
        <x:v>R24 R26 R27</x:v>
      </x:c>
      <x:c r="N102" s="21"/>
      <x:c r="O102" s="21"/>
      <x:c r="P102" s="19" t="str"/>
      <x:c r="Q102" s="19" t="str">
        <x:v>【执行记录】
自身工程实现及范围化执行证据已核验（应用源码 ff03a18）；不等于原整项验收及依赖已签收。
原条款待输入：目标CPU/RAM/磁盘/模型和真实视频分布容量、授权上游测试实例/小范围样本灰度；不得把本地worker基线泛化SLO，完整V1仍取决于原全部验收。
原直接依赖未签收：COL-028, COL-029, COL-030, IF-028, K-031, QA-002。这是验收依赖，不是未实现代码清单。
本任务证据、执行范围与边界见 V1-CLOSURE.md 和矩阵 COL-031。
逐条验收：执行中 2，阻塞 1。</x:v>
      </x:c>
    </x:row>
    <x:row r="103" ht="95" hidden="0" customHeight="1">
      <x:c r="A103" s="16" t="str">
        <x:v>IF-030</x:v>
      </x:c>
      <x:c r="B103" s="16" t="str">
        <x:v>交付宿主接入运维、升级与兼容文档</x:v>
      </x:c>
      <x:c r="C103" s="16" t="str">
        <x:v>运行与维护</x:v>
      </x:c>
      <x:c r="D103" s="22" t="str">
        <x:v>P1</x:v>
      </x:c>
      <x:c r="E103" s="22" t="str">
        <x:v>M4</x:v>
      </x:c>
      <x:c r="F103" s="16" t="str">
        <x:v>技术负责人/运维/技术写作者</x:v>
      </x:c>
      <x:c r="G103" s="19" t="str">
        <x:v>gateway-ui</x:v>
      </x:c>
      <x:c r="H103" s="19" t="str">
        <x:v>待验收</x:v>
      </x:c>
      <x:c r="I103" s="24" t="n">
        <x:v>2</x:v>
      </x:c>
      <x:c r="J103" s="25" t="str">
        <x:v>IF-028, IF-029, COL-025, COL-028, COL-031, K-031</x:v>
      </x:c>
      <x:c r="K103" s="25" t="n">
        <x:f>6-SUM(COUNTIFS('开发任务'!$A$7:$A$113,"IF-028",'开发任务'!$H$7:$H$113,"已完成"),COUNTIFS('开发任务'!$A$7:$A$113,"IF-029",'开发任务'!$H$7:$H$113,"已完成"),COUNTIFS('开发任务'!$A$7:$A$113,"COL-025",'开发任务'!$H$7:$H$113,"已完成"),COUNTIFS('开发任务'!$A$7:$A$113,"COL-028",'开发任务'!$H$7:$H$113,"已完成"),COUNTIFS('开发任务'!$A$7:$A$113,"COL-031",'开发任务'!$H$7:$H$113,"已完成"),COUNTIFS('开发任务'!$A$7:$A$113,"K-031",'开发任务'!$H$7:$H$113,"已完成"))</x:f>
        <x:v>6</x:v>
      </x:c>
      <x:c r="L103" s="16" t="str">
        <x:f>IF(H103="已完成","已完成",IF(D103="P2","后续规划",IF(H103="阻塞","处理阻塞",IF(H103="暂停","已暂停",IF(K103&gt;0,"等待依赖",IF(G103="","待指派",IF(H103="待验收","待验收","可推进")))))))</x:f>
        <x:v>等待依赖</x:v>
      </x:c>
      <x:c r="M103" s="16" t="str">
        <x:v>R26 R28</x:v>
      </x:c>
      <x:c r="N103" s="21"/>
      <x:c r="O103" s="21"/>
      <x:c r="P103" s="19" t="str"/>
      <x:c r="Q103" s="19" t="str">
        <x:v>【执行记录】
自身工程实现及范围化执行证据已核验（应用源码 ff03a18）；不等于原整项验收及依赖已签收。
原直接依赖未签收：IF-028, IF-029, COL-025, COL-028, COL-031, K-031。这是验收依赖，不是未实现代码清单。
本任务证据、执行范围与边界见 V1-CLOSURE.md 和矩阵 IF-030。
逐条验收：执行中 4。</x:v>
      </x:c>
    </x:row>
    <x:row r="104" ht="95" hidden="0" customHeight="1">
      <x:c r="A104" s="18" t="str">
        <x:v>K-031</x:v>
      </x:c>
      <x:c r="B104" s="18" t="str">
        <x:v>知识质量、覆盖与处理成本可观测性</x:v>
      </x:c>
      <x:c r="C104" s="18" t="str">
        <x:v>运行与维护</x:v>
      </x:c>
      <x:c r="D104" s="23" t="str">
        <x:v>P1</x:v>
      </x:c>
      <x:c r="E104" s="23" t="str">
        <x:v>M4</x:v>
      </x:c>
      <x:c r="F104" s="18" t="str">
        <x:v>知识工程师/后端工程师</x:v>
      </x:c>
      <x:c r="G104" s="19" t="str">
        <x:v>knowledge</x:v>
      </x:c>
      <x:c r="H104" s="19" t="str">
        <x:v>待验收</x:v>
      </x:c>
      <x:c r="I104" s="24" t="n">
        <x:v>1.5</x:v>
      </x:c>
      <x:c r="J104" s="26" t="str">
        <x:v>K-007, K-017, K-022, K-028</x:v>
      </x:c>
      <x:c r="K104" s="26" t="n">
        <x:f>4-SUM(COUNTIFS('开发任务'!$A$7:$A$113,"K-007",'开发任务'!$H$7:$H$113,"已完成"),COUNTIFS('开发任务'!$A$7:$A$113,"K-017",'开发任务'!$H$7:$H$113,"已完成"),COUNTIFS('开发任务'!$A$7:$A$113,"K-022",'开发任务'!$H$7:$H$113,"已完成"),COUNTIFS('开发任务'!$A$7:$A$113,"K-028",'开发任务'!$H$7:$H$113,"已完成"))</x:f>
        <x:v>4</x:v>
      </x:c>
      <x:c r="L104" s="18" t="str">
        <x:f>IF(H104="已完成","已完成",IF(D104="P2","后续规划",IF(H104="阻塞","处理阻塞",IF(H104="暂停","已暂停",IF(K104&gt;0,"等待依赖",IF(G104="","待指派",IF(H104="待验收","待验收","可推进")))))))</x:f>
        <x:v>等待依赖</x:v>
      </x:c>
      <x:c r="M104" s="18" t="str">
        <x:v>R24 R27</x:v>
      </x:c>
      <x:c r="N104" s="21"/>
      <x:c r="O104" s="21"/>
      <x:c r="P104" s="19" t="str"/>
      <x:c r="Q104" s="19" t="str">
        <x:v>【执行记录】
自身工程实现及范围化执行证据已核验（应用源码 ff03a18）；不等于原整项验收及依赖已签收。
原直接依赖未签收：K-007, K-017, K-022, K-028。这是验收依赖，不是未实现代码清单。
本任务证据、执行范围与边界见 V1-CLOSURE.md 和矩阵 K-031。
逐条验收：执行中 3。</x:v>
      </x:c>
    </x:row>
    <x:row r="105" ht="132" hidden="0" customHeight="1">
      <x:c r="A105" s="16" t="str">
        <x:v>IF-028</x:v>
      </x:c>
      <x:c r="B105" s="16" t="str">
        <x:v>完成跨入口端到端与Canvas集成验收</x:v>
      </x:c>
      <x:c r="C105" s="16" t="str">
        <x:v>验收与发布</x:v>
      </x:c>
      <x:c r="D105" s="22" t="str">
        <x:v>P1</x:v>
      </x:c>
      <x:c r="E105" s="22" t="str">
        <x:v>M4</x:v>
      </x:c>
      <x:c r="F105" s="16" t="str">
        <x:v>QA/集成工程师</x:v>
      </x:c>
      <x:c r="G105" s="19" t="str">
        <x:v>gateway-ui</x:v>
      </x:c>
      <x:c r="H105" s="19" t="str">
        <x:v>阻塞</x:v>
      </x:c>
      <x:c r="I105" s="24" t="n">
        <x:v>3</x:v>
      </x:c>
      <x:c r="J105" s="25" t="str">
        <x:v>IF-013, IF-020, IF-024, IF-026, COL-023, COL-027, K-030</x:v>
      </x:c>
      <x:c r="K105" s="25" t="n">
        <x:f>7-SUM(COUNTIFS('开发任务'!$A$7:$A$113,"IF-013",'开发任务'!$H$7:$H$113,"已完成"),COUNTIFS('开发任务'!$A$7:$A$113,"IF-020",'开发任务'!$H$7:$H$113,"已完成"),COUNTIFS('开发任务'!$A$7:$A$113,"IF-024",'开发任务'!$H$7:$H$113,"已完成"),COUNTIFS('开发任务'!$A$7:$A$113,"IF-026",'开发任务'!$H$7:$H$113,"已完成"),COUNTIFS('开发任务'!$A$7:$A$113,"COL-023",'开发任务'!$H$7:$H$113,"已完成"),COUNTIFS('开发任务'!$A$7:$A$113,"COL-027",'开发任务'!$H$7:$H$113,"已完成"),COUNTIFS('开发任务'!$A$7:$A$113,"K-030",'开发任务'!$H$7:$H$113,"已完成"))</x:f>
        <x:v>7</x:v>
      </x:c>
      <x:c r="L105" s="16" t="str">
        <x:f>IF(H105="已完成","已完成",IF(D105="P2","后续规划",IF(H105="阻塞","处理阻塞",IF(H105="暂停","已暂停",IF(K105&gt;0,"等待依赖",IF(G105="","待指派",IF(H105="待验收","待验收","可推进")))))))</x:f>
        <x:v>处理阻塞</x:v>
      </x:c>
      <x:c r="M105" s="16" t="str">
        <x:v>R09 R17 R18 R19 R20 R27</x:v>
      </x:c>
      <x:c r="N105" s="21"/>
      <x:c r="O105" s="21"/>
      <x:c r="P105" s="19" t="str"/>
      <x:c r="Q105" s="19" t="str">
        <x:v>【执行记录】
自身工程实现及范围化执行证据已核验（应用源码 ff03a18）；不等于原整项验收及依赖已签收。
原条款待输入：B站/抖音各字幕、无字幕、长视频及视觉必需授权样本的原覆盖；内部跨入口/真实Canvas/hash/replay工程证据独立保留。
原直接依赖未签收：IF-013, IF-020, IF-024, IF-026, COL-023, COL-027, K-030。这是验收依赖，不是未实现代码清单。
本任务证据、执行范围与边界见 V1-CLOSURE.md 和矩阵 IF-028。
逐条验收：阻塞 1，通过 3。</x:v>
      </x:c>
    </x:row>
    <x:row r="106" ht="132" hidden="0" customHeight="1">
      <x:c r="A106" s="18" t="str">
        <x:v>QA-003</x:v>
      </x:c>
      <x:c r="B106" s="18" t="str">
        <x:v>完成完整首版试点和发布验收</x:v>
      </x:c>
      <x:c r="C106" s="18" t="str">
        <x:v>验收与发布</x:v>
      </x:c>
      <x:c r="D106" s="23" t="str">
        <x:v>P1</x:v>
      </x:c>
      <x:c r="E106" s="23" t="str">
        <x:v>M4</x:v>
      </x:c>
      <x:c r="F106" s="18" t="str">
        <x:v>QA/产品负责人</x:v>
      </x:c>
      <x:c r="G106" s="19" t="str">
        <x:v>integration</x:v>
      </x:c>
      <x:c r="H106" s="19" t="str">
        <x:v>阻塞</x:v>
      </x:c>
      <x:c r="I106" s="24" t="n">
        <x:v>2</x:v>
      </x:c>
      <x:c r="J106" s="26" t="str">
        <x:v>IF-028, IF-029, IF-030, COL-031, K-031, QA-001, QA-002</x:v>
      </x:c>
      <x:c r="K106" s="26" t="n">
        <x:f>7-SUM(COUNTIFS('开发任务'!$A$7:$A$113,"IF-028",'开发任务'!$H$7:$H$113,"已完成"),COUNTIFS('开发任务'!$A$7:$A$113,"IF-029",'开发任务'!$H$7:$H$113,"已完成"),COUNTIFS('开发任务'!$A$7:$A$113,"IF-030",'开发任务'!$H$7:$H$113,"已完成"),COUNTIFS('开发任务'!$A$7:$A$113,"COL-031",'开发任务'!$H$7:$H$113,"已完成"),COUNTIFS('开发任务'!$A$7:$A$113,"K-031",'开发任务'!$H$7:$H$113,"已完成"),COUNTIFS('开发任务'!$A$7:$A$113,"QA-001",'开发任务'!$H$7:$H$113,"已完成"),COUNTIFS('开发任务'!$A$7:$A$113,"QA-002",'开发任务'!$H$7:$H$113,"已完成"))</x:f>
        <x:v>7</x:v>
      </x:c>
      <x:c r="L106" s="18" t="str">
        <x:f>IF(H106="已完成","已完成",IF(D106="P2","后续规划",IF(H106="阻塞","处理阻塞",IF(H106="暂停","已暂停",IF(K106&gt;0,"等待依赖",IF(G106="","待指派",IF(H106="待验收","待验收","可推进")))))))</x:f>
        <x:v>处理阻塞</x:v>
      </x:c>
      <x:c r="M106" s="18" t="str">
        <x:v>R03 R09 R14 R19 R24 R27 R28</x:v>
      </x:c>
      <x:c r="N106" s="21"/>
      <x:c r="O106" s="21"/>
      <x:c r="P106" s="19" t="str"/>
      <x:c r="Q106" s="19" t="str">
        <x:v>【执行记录】
自身工程实现及范围化执行证据已核验（应用源码 ff03a18）；不等于原整项验收及依赖已签收。
原条款待输入：按M0冻结实际时长持续试点、三基线质量比较、偏差与项目方签收；默认建议7天，不能压缩/虚构，TEST不默认需要生产授权。
原直接依赖未签收：IF-028, IF-029, IF-030, COL-031, K-031, QA-001, QA-002。这是验收依赖，不是未实现代码清单。
本任务证据、执行范围与边界见 V1-CLOSURE.md 和矩阵 QA-003。
逐条验收：阻塞 1。</x:v>
      </x:c>
    </x:row>
    <x:row r="107" ht="32" hidden="0" customHeight="1">
      <x:c r="A107" s="16" t="str">
        <x:v>COL-032</x:v>
      </x:c>
      <x:c r="B107" s="16" t="str">
        <x:v>扩展TikTok、合集与受控历史回填</x:v>
      </x:c>
      <x:c r="C107" s="16" t="str">
        <x:v>后续扩展</x:v>
      </x:c>
      <x:c r="D107" s="22" t="str">
        <x:v>P2</x:v>
      </x:c>
      <x:c r="E107" s="22" t="str">
        <x:v>M5</x:v>
      </x:c>
      <x:c r="F107" s="16" t="str">
        <x:v>采集后端</x:v>
      </x:c>
      <x:c r="G107" s="19" t="str"/>
      <x:c r="H107" s="19" t="str">
        <x:v>未开始</x:v>
      </x:c>
      <x:c r="I107" s="24" t="n">
        <x:v>3</x:v>
      </x:c>
      <x:c r="J107" s="25" t="str">
        <x:v>COL-030, COL-031</x:v>
      </x:c>
      <x:c r="K107" s="25" t="n">
        <x:f>2-SUM(COUNTIFS('开发任务'!$A$7:$A$113,"COL-030",'开发任务'!$H$7:$H$113,"已完成"),COUNTIFS('开发任务'!$A$7:$A$113,"COL-031",'开发任务'!$H$7:$H$113,"已完成"))</x:f>
        <x:v>2</x:v>
      </x:c>
      <x:c r="L107" s="16" t="str">
        <x:f>IF(H107="已完成","已完成",IF(D107="P2","后续规划",IF(H107="阻塞","处理阻塞",IF(H107="暂停","已暂停",IF(K107&gt;0,"等待依赖",IF(G107="","待指派",IF(H107="待验收","待验收","可推进")))))))</x:f>
        <x:v>后续规划</x:v>
      </x:c>
      <x:c r="M107" s="16" t="str">
        <x:v>R30</x:v>
      </x:c>
      <x:c r="N107" s="21"/>
      <x:c r="O107" s="21"/>
      <x:c r="P107" s="19" t="str"/>
      <x:c r="Q107" s="19" t="str"/>
    </x:row>
    <x:row r="108" ht="32" hidden="0" customHeight="1">
      <x:c r="A108" s="18" t="str">
        <x:v>COL-033</x:v>
      </x:c>
      <x:c r="B108" s="18" t="str">
        <x:v>大文件分段传输与容量扩展</x:v>
      </x:c>
      <x:c r="C108" s="18" t="str">
        <x:v>后续扩展</x:v>
      </x:c>
      <x:c r="D108" s="23" t="str">
        <x:v>P2</x:v>
      </x:c>
      <x:c r="E108" s="23" t="str">
        <x:v>M5</x:v>
      </x:c>
      <x:c r="F108" s="18" t="str">
        <x:v>媒体后端/DevOps</x:v>
      </x:c>
      <x:c r="G108" s="19" t="str"/>
      <x:c r="H108" s="19" t="str">
        <x:v>未开始</x:v>
      </x:c>
      <x:c r="I108" s="24" t="n">
        <x:v>4</x:v>
      </x:c>
      <x:c r="J108" s="26" t="str">
        <x:v>COL-017, COL-029, COL-031</x:v>
      </x:c>
      <x:c r="K108" s="26" t="n">
        <x:f>3-SUM(COUNTIFS('开发任务'!$A$7:$A$113,"COL-017",'开发任务'!$H$7:$H$113,"已完成"),COUNTIFS('开发任务'!$A$7:$A$113,"COL-029",'开发任务'!$H$7:$H$113,"已完成"),COUNTIFS('开发任务'!$A$7:$A$113,"COL-031",'开发任务'!$H$7:$H$113,"已完成"))</x:f>
        <x:v>3</x:v>
      </x:c>
      <x:c r="L108" s="18" t="str">
        <x:f>IF(H108="已完成","已完成",IF(D108="P2","后续规划",IF(H108="阻塞","处理阻塞",IF(H108="暂停","已暂停",IF(K108&gt;0,"等待依赖",IF(G108="","待指派",IF(H108="待验收","待验收","可推进")))))))</x:f>
        <x:v>后续规划</x:v>
      </x:c>
      <x:c r="M108" s="18" t="str">
        <x:v>R30</x:v>
      </x:c>
      <x:c r="N108" s="21"/>
      <x:c r="O108" s="21"/>
      <x:c r="P108" s="19" t="str"/>
      <x:c r="Q108" s="19" t="str"/>
    </x:row>
    <x:row r="109" ht="32" hidden="0" customHeight="1">
      <x:c r="A109" s="16" t="str">
        <x:v>EXT-001</x:v>
      </x:c>
      <x:c r="B109" s="16" t="str">
        <x:v>实现基于宿主API的受控运维CLI</x:v>
      </x:c>
      <x:c r="C109" s="16" t="str">
        <x:v>后续扩展</x:v>
      </x:c>
      <x:c r="D109" s="22" t="str">
        <x:v>P2</x:v>
      </x:c>
      <x:c r="E109" s="22" t="str">
        <x:v>M5</x:v>
      </x:c>
      <x:c r="F109" s="16" t="str">
        <x:v>后端工程师</x:v>
      </x:c>
      <x:c r="G109" s="19" t="str"/>
      <x:c r="H109" s="19" t="str">
        <x:v>未开始</x:v>
      </x:c>
      <x:c r="I109" s="24" t="n">
        <x:v>2</x:v>
      </x:c>
      <x:c r="J109" s="25" t="str">
        <x:v>IF-030, COL-031</x:v>
      </x:c>
      <x:c r="K109" s="25" t="n">
        <x:f>2-SUM(COUNTIFS('开发任务'!$A$7:$A$113,"IF-030",'开发任务'!$H$7:$H$113,"已完成"),COUNTIFS('开发任务'!$A$7:$A$113,"COL-031",'开发任务'!$H$7:$H$113,"已完成"))</x:f>
        <x:v>2</x:v>
      </x:c>
      <x:c r="L109" s="16" t="str">
        <x:f>IF(H109="已完成","已完成",IF(D109="P2","后续规划",IF(H109="阻塞","处理阻塞",IF(H109="暂停","已暂停",IF(K109&gt;0,"等待依赖",IF(G109="","待指派",IF(H109="待验收","待验收","可推进")))))))</x:f>
        <x:v>后续规划</x:v>
      </x:c>
      <x:c r="M109" s="16" t="str">
        <x:v>R29</x:v>
      </x:c>
      <x:c r="N109" s="21"/>
      <x:c r="O109" s="21"/>
      <x:c r="P109" s="19" t="str"/>
      <x:c r="Q109" s="19" t="str"/>
    </x:row>
    <x:row r="110" ht="32" hidden="0" customHeight="1">
      <x:c r="A110" s="18" t="str">
        <x:v>IF-016</x:v>
      </x:c>
      <x:c r="B110" s="18" t="str">
        <x:v>提供通用SKILL.md宿主操作配方</x:v>
      </x:c>
      <x:c r="C110" s="18" t="str">
        <x:v>后续扩展</x:v>
      </x:c>
      <x:c r="D110" s="23" t="str">
        <x:v>P2</x:v>
      </x:c>
      <x:c r="E110" s="23" t="str">
        <x:v>M5</x:v>
      </x:c>
      <x:c r="F110" s="18" t="str">
        <x:v>Agent工程师/技术写作者</x:v>
      </x:c>
      <x:c r="G110" s="19" t="str"/>
      <x:c r="H110" s="19" t="str">
        <x:v>未开始</x:v>
      </x:c>
      <x:c r="I110" s="24" t="n">
        <x:v>0.5</x:v>
      </x:c>
      <x:c r="J110" s="26" t="str">
        <x:v>IF-006, IF-012, IF-015</x:v>
      </x:c>
      <x:c r="K110" s="26" t="n">
        <x:f>3-SUM(COUNTIFS('开发任务'!$A$7:$A$113,"IF-006",'开发任务'!$H$7:$H$113,"已完成"),COUNTIFS('开发任务'!$A$7:$A$113,"IF-012",'开发任务'!$H$7:$H$113,"已完成"),COUNTIFS('开发任务'!$A$7:$A$113,"IF-015",'开发任务'!$H$7:$H$113,"已完成"))</x:f>
        <x:v>3</x:v>
      </x:c>
      <x:c r="L110" s="18" t="str">
        <x:f>IF(H110="已完成","已完成",IF(D110="P2","后续规划",IF(H110="阻塞","处理阻塞",IF(H110="暂停","已暂停",IF(K110&gt;0,"等待依赖",IF(G110="","待指派",IF(H110="待验收","待验收","可推进")))))))</x:f>
        <x:v>后续规划</x:v>
      </x:c>
      <x:c r="M110" s="18" t="str">
        <x:v>R30</x:v>
      </x:c>
      <x:c r="N110" s="21"/>
      <x:c r="O110" s="21"/>
      <x:c r="P110" s="19" t="str"/>
      <x:c r="Q110" s="19" t="str"/>
    </x:row>
    <x:row r="111" ht="32" hidden="0" customHeight="1">
      <x:c r="A111" s="16" t="str">
        <x:v>IF-031</x:v>
      </x:c>
      <x:c r="B111" s="16" t="str">
        <x:v>可选动态原生Skill注册与受控发布</x:v>
      </x:c>
      <x:c r="C111" s="16" t="str">
        <x:v>后续扩展</x:v>
      </x:c>
      <x:c r="D111" s="22" t="str">
        <x:v>P2</x:v>
      </x:c>
      <x:c r="E111" s="22" t="str">
        <x:v>M5</x:v>
      </x:c>
      <x:c r="F111" s="16" t="str">
        <x:v>Go后端/Agent工程师</x:v>
      </x:c>
      <x:c r="G111" s="19" t="str"/>
      <x:c r="H111" s="19" t="str">
        <x:v>未开始</x:v>
      </x:c>
      <x:c r="I111" s="24" t="n">
        <x:v>8</x:v>
      </x:c>
      <x:c r="J111" s="25" t="str">
        <x:v>IF-026, IF-030</x:v>
      </x:c>
      <x:c r="K111" s="25" t="n">
        <x:f>2-SUM(COUNTIFS('开发任务'!$A$7:$A$113,"IF-026",'开发任务'!$H$7:$H$113,"已完成"),COUNTIFS('开发任务'!$A$7:$A$113,"IF-030",'开发任务'!$H$7:$H$113,"已完成"))</x:f>
        <x:v>2</x:v>
      </x:c>
      <x:c r="L111" s="16" t="str">
        <x:f>IF(H111="已完成","已完成",IF(D111="P2","后续规划",IF(H111="阻塞","处理阻塞",IF(H111="暂停","已暂停",IF(K111&gt;0,"等待依赖",IF(G111="","待指派",IF(H111="待验收","待验收","可推进")))))))</x:f>
        <x:v>后续规划</x:v>
      </x:c>
      <x:c r="M111" s="16" t="str">
        <x:v>R30</x:v>
      </x:c>
      <x:c r="N111" s="21"/>
      <x:c r="O111" s="21"/>
      <x:c r="P111" s="19" t="str"/>
      <x:c r="Q111" s="19" t="str"/>
    </x:row>
    <x:row r="112" ht="32" hidden="0" customHeight="1">
      <x:c r="A112" s="18" t="str">
        <x:v>IF-032</x:v>
      </x:c>
      <x:c r="B112" s="18" t="str">
        <x:v>可选通用Skill与Intel运行桥及MCP互操作</x:v>
      </x:c>
      <x:c r="C112" s="18" t="str">
        <x:v>后续扩展</x:v>
      </x:c>
      <x:c r="D112" s="23" t="str">
        <x:v>P2</x:v>
      </x:c>
      <x:c r="E112" s="23" t="str">
        <x:v>M5</x:v>
      </x:c>
      <x:c r="F112" s="18" t="str">
        <x:v>Agent工程师/后端工程师</x:v>
      </x:c>
      <x:c r="G112" s="19" t="str"/>
      <x:c r="H112" s="19" t="str">
        <x:v>未开始</x:v>
      </x:c>
      <x:c r="I112" s="24" t="n">
        <x:v>5</x:v>
      </x:c>
      <x:c r="J112" s="26" t="str">
        <x:v>IF-016, IF-030</x:v>
      </x:c>
      <x:c r="K112" s="26" t="n">
        <x:f>2-SUM(COUNTIFS('开发任务'!$A$7:$A$113,"IF-016",'开发任务'!$H$7:$H$113,"已完成"),COUNTIFS('开发任务'!$A$7:$A$113,"IF-030",'开发任务'!$H$7:$H$113,"已完成"))</x:f>
        <x:v>2</x:v>
      </x:c>
      <x:c r="L112" s="18" t="str">
        <x:f>IF(H112="已完成","已完成",IF(D112="P2","后续规划",IF(H112="阻塞","处理阻塞",IF(H112="暂停","已暂停",IF(K112&gt;0,"等待依赖",IF(G112="","待指派",IF(H112="待验收","待验收","可推进")))))))</x:f>
        <x:v>后续规划</x:v>
      </x:c>
      <x:c r="M112" s="18" t="str">
        <x:v>R30</x:v>
      </x:c>
      <x:c r="N112" s="21"/>
      <x:c r="O112" s="21"/>
      <x:c r="P112" s="19" t="str"/>
      <x:c r="Q112" s="19" t="str"/>
    </x:row>
    <x:row r="113" ht="32" hidden="0" customHeight="1">
      <x:c r="A113" s="16" t="str">
        <x:v>K-032</x:v>
      </x:c>
      <x:c r="B113" s="16" t="str">
        <x:v>按规模验证升级宿主语义检索与重排</x:v>
      </x:c>
      <x:c r="C113" s="16" t="str">
        <x:v>后续扩展</x:v>
      </x:c>
      <x:c r="D113" s="22" t="str">
        <x:v>P2</x:v>
      </x:c>
      <x:c r="E113" s="22" t="str">
        <x:v>M5</x:v>
      </x:c>
      <x:c r="F113" s="16" t="str">
        <x:v>检索工程师/数据库工程师</x:v>
      </x:c>
      <x:c r="G113" s="19" t="str"/>
      <x:c r="H113" s="19" t="str">
        <x:v>未开始</x:v>
      </x:c>
      <x:c r="I113" s="24" t="n">
        <x:v>3.5</x:v>
      </x:c>
      <x:c r="J113" s="25" t="str">
        <x:v>K-018, K-024, K-030</x:v>
      </x:c>
      <x:c r="K113" s="25" t="n">
        <x:f>3-SUM(COUNTIFS('开发任务'!$A$7:$A$113,"K-018",'开发任务'!$H$7:$H$113,"已完成"),COUNTIFS('开发任务'!$A$7:$A$113,"K-024",'开发任务'!$H$7:$H$113,"已完成"),COUNTIFS('开发任务'!$A$7:$A$113,"K-030",'开发任务'!$H$7:$H$113,"已完成"))</x:f>
        <x:v>3</x:v>
      </x:c>
      <x:c r="L113" s="16" t="str">
        <x:f>IF(H113="已完成","已完成",IF(D113="P2","后续规划",IF(H113="阻塞","处理阻塞",IF(H113="暂停","已暂停",IF(K113&gt;0,"等待依赖",IF(G113="","待指派",IF(H113="待验收","待验收","可推进")))))))</x:f>
        <x:v>后续规划</x:v>
      </x:c>
      <x:c r="M113" s="16" t="str">
        <x:v>R30</x:v>
      </x:c>
      <x:c r="N113" s="21"/>
      <x:c r="O113" s="21"/>
      <x:c r="P113" s="19" t="str"/>
      <x:c r="Q113" s="19" t="str"/>
    </x:row>
    <x:row r="114" ht="24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 ht="24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</x:sheetData>
  <x:conditionalFormatting sqref="H7:H113">
    <x:cfRule type="containsText" dxfId="4" priority="4" operator="containsText" text="阻塞"/>
    <x:cfRule type="containsText" dxfId="5" priority="5" operator="containsText" text="已完成"/>
  </x:conditionalFormatting>
  <x:conditionalFormatting sqref="L7:L113">
    <x:cfRule type="containsText" dxfId="6" priority="6" operator="containsText" text="待指派"/>
  </x:conditionalFormatting>
  <x:dataValidations count="1">
    <x:dataValidation type="list" sqref="H7:H113">
      <x:formula1>"未开始,进行中,阻塞,待验收,已完成,暂停"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26285d89c54d8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4" hidden="0" customWidth="1"/>
    <x:col min="2" max="2" width="42" hidden="0" customWidth="1"/>
    <x:col min="3" max="3" width="78" hidden="0" customWidth="1"/>
    <x:col min="4" max="4" width="44" hidden="0" customWidth="1"/>
    <x:col min="5" max="5" width="90" hidden="0" customWidth="1"/>
    <x:col min="6" max="6" width="50" hidden="0" customWidth="1"/>
    <x:col min="7" max="7" width="100" hidden="0" customWidth="1"/>
    <x:col min="8" max="8" width="60" hidden="0" customWidth="1"/>
    <x:col min="9" max="9" width="21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1" customHeight="1">
      <x:c r="A2" s="3" t="str">
        <x:v>任务实施规格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4" t="str">
        <x:v>本表保留完整实现说明和验收。协作说明不是额外硬前置；排期以开发任务表的前置ID为准。</x:v>
      </x:c>
      <x:c r="B3" s="2"/>
      <x:c r="C3" s="2"/>
      <x:c r="D3" s="2"/>
      <x:c r="E3" s="2"/>
      <x:c r="F3" s="2"/>
      <x:c r="G3" s="2"/>
      <x:c r="H3" s="2"/>
      <x:c r="I3" s="2"/>
    </x:row>
    <x:row r="4" ht="8" customHeight="1">
      <x:c r="A4" s="5"/>
      <x:c r="B4" s="5"/>
      <x:c r="C4" s="5"/>
      <x:c r="D4" s="5"/>
      <x:c r="E4" s="5"/>
      <x:c r="F4" s="5"/>
      <x:c r="G4" s="5"/>
      <x:c r="H4" s="5"/>
      <x:c r="I4" s="5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34" customHeight="1">
      <x:c r="A6" s="10" t="str">
        <x:v>任务ID</x:v>
      </x:c>
      <x:c r="B6" s="11" t="str">
        <x:v>开发任务</x:v>
      </x:c>
      <x:c r="C6" s="11" t="str">
        <x:v>实施内容</x:v>
      </x:c>
      <x:c r="D6" s="11" t="str">
        <x:v>交付物</x:v>
      </x:c>
      <x:c r="E6" s="11" t="str">
        <x:v>可验证验收条件</x:v>
      </x:c>
      <x:c r="F6" s="11" t="str">
        <x:v>验证方式和关联用例</x:v>
      </x:c>
      <x:c r="G6" s="11" t="str">
        <x:v>代码落点</x:v>
      </x:c>
      <x:c r="H6" s="11" t="str">
        <x:v>边界与协作说明</x:v>
      </x:c>
      <x:c r="I6" s="12" t="str">
        <x:v>依据编号</x:v>
      </x:c>
    </x:row>
    <x:row r="7" ht="136" hidden="0" customHeight="1">
      <x:c r="A7" s="16" t="str">
        <x:v>COL-001</x:v>
      </x:c>
      <x:c r="B7" s="16" t="str">
        <x:v>锁定宿主与DTK版本、建立真实能力基线</x:v>
      </x:c>
      <x:c r="C7" s="16" t="str">
        <x:v>1. 记录宿主SHA、DTK SHA/镜像digest、OpenAPI及必要返回schema；只声明验证过的读取/下载端点。
2. 明确主Flow Engine与legacy collector两条链路，锁定本功能只接主Flow Engine。
3. 记录MCP 10–30秒超时、公共出站策略和ASR已有但上层丢弃segments等事实，避免重复实现。</x:v>
      </x:c>
      <x:c r="D7" s="16" t="str">
        <x:v>1. 已实现的模块与契约
2. 对应验证记录</x:v>
      </x:c>
      <x:c r="E7" s="16" t="str">
        <x:v>1. 基线文档每个现有能力有文件/符号/固定提交引用。
2. fixture、文档声明、源码实现、实测结果分别标注；未实测的下载成功率及性能不写成事实。</x:v>
      </x:c>
      <x:c r="F7" s="16" t="str">
        <x:v>针对该任务的契约或集成验证
关联用例：AC24</x:v>
      </x:c>
      <x:c r="G7" s="16" t="str">
        <x:v>现有修改
services/loom-engine/flow/engine.ts
services/loom-engine/flow/connectors.ts
services/loom-engine/src/lib/server/collectors/index.ts
backend/internal/flow/mcp.go
backend/internal/flow/egress.go
拟新增或生成
docs/video-ingestion/BASELINE.md
docs/video-ingestion/provider-lock.json</x:v>
      </x:c>
      <x:c r="H7" s="16" t="str"/>
      <x:c r="I7" s="16" t="str">
        <x:v>S01 S13 S15</x:v>
      </x:c>
    </x:row>
    <x:row r="8" ht="136" hidden="0" customHeight="1">
      <x:c r="A8" s="18" t="str">
        <x:v>COL-002</x:v>
      </x:c>
      <x:c r="B8" s="18" t="str">
        <x:v>定义视频来源、分页覆盖与媒体manifest契约</x:v>
      </x:c>
      <x:c r="C8" s="18" t="str">
        <x:v>1. source.kind拟为video，config.platform为bilibili/douyin；source_mode为single/author，后续可扩展collection。
2. 定义platform/content_id/part/canonical_url、稳定author_id、credential_ref、profile_version、watermark/page_checkpoint/coverage。
3. 定义manifest只含宿主可授权解析的asset_id/object_key/hash及源证据；凭据、临时下载签名不进入LLM返回。
4. 明确所有平台ID使用字符串；B站分P分别建asset/job，part默认为1。</x:v>
      </x:c>
      <x:c r="D8" s="18" t="str">
        <x:v>1. 已实现的模块与契约
2. 对应验证记录</x:v>
      </x:c>
      <x:c r="E8" s="18" t="str">
        <x:v>1. 同一视频链接不同写法归一到同平台ID与part；不同P不合并。
2. JSON schema拒绝未知平台、无效part、跨scope字段和凭据明文。
3. coverage区分complete/partial/unknown，不用空列表冒充已完整扫描。</x:v>
      </x:c>
      <x:c r="F8" s="18" t="str">
        <x:v>针对该任务的契约或集成验证
关联用例：AC01 AC02 AC04 AC21</x:v>
      </x:c>
      <x:c r="G8" s="18" t="str">
        <x:v>现有修改
services/loom-engine/flow/connectors.ts
services/loom-engine/src/lib/server/collectors/types.ts
拟新增或生成
services/loom-engine/flow/video/contracts.ts
docs/video-ingestion/contracts.md</x:v>
      </x:c>
      <x:c r="H8" s="18" t="str">
        <x:v>协作接口：K:媒体资产与视频证据共同契约；IF:短任务工具请求/响应schema对齐</x:v>
      </x:c>
      <x:c r="I8" s="18" t="str">
        <x:v>S02 S10 S15 S16</x:v>
      </x:c>
    </x:row>
    <x:row r="9" ht="76" hidden="0" customHeight="1">
      <x:c r="A9" s="16" t="str">
        <x:v>FND-001</x:v>
      </x:c>
      <x:c r="B9" s="16" t="str">
        <x:v>冻结首发行业与业务问题</x:v>
      </x:c>
      <x:c r="C9" s="16" t="str">
        <x:v>1. 选定一个垂直行业、5至10个实际问题、可信来源规则、知识类型、复核及发布负责人；确认素材使用依据和保留策略。</x:v>
      </x:c>
      <x:c r="D9" s="16" t="str">
        <x:v>1. 领域需求基线
2. 业务问题与边界清单</x:v>
      </x:c>
      <x:c r="E9" s="16" t="str">
        <x:v>1. 问题可转成具体输入输出与判定；首发行业不从仓库名称推断；来源使用和角色明确。</x:v>
      </x:c>
      <x:c r="F9" s="16" t="str">
        <x:v>针对该任务的契约或集成验证
关联用例：AC27 AC29</x:v>
      </x:c>
      <x:c r="G9" s="16" t="str">
        <x:v>现有：沿用宿主公共能力
拟新增或生成
docs/video-knowledge/domain-baseline.md</x:v>
      </x:c>
      <x:c r="H9" s="16" t="str"/>
      <x:c r="I9" s="16" t="str">
        <x:v>S01 S06 S18</x:v>
      </x:c>
    </x:row>
    <x:row r="10" ht="76" hidden="0" customHeight="1">
      <x:c r="A10" s="18" t="str">
        <x:v>FND-002</x:v>
      </x:c>
      <x:c r="B10" s="18" t="str">
        <x:v>评审跨组件契约和实施责任</x:v>
      </x:c>
      <x:c r="C10" s="18" t="str">
        <x:v>1. 统一job、scope、manifest、错误和事件版本；确认K-017独占ready屏障，COL-022只做任务状态映射；固定input_ready和processing_complete两阶段。</x:v>
      </x:c>
      <x:c r="D10" s="18" t="str">
        <x:v>1. 签定版本的契约与ADR
2. 模块责任及依赖图</x:v>
      </x:c>
      <x:c r="E10" s="18" t="str">
        <x:v>1. 无互相等待的实现依赖；当前能力、拟新增和验证状态区分；Schema及兼容策略可供各语言生成或验证。</x:v>
      </x:c>
      <x:c r="F10" s="18" t="str">
        <x:v>针对该任务的契约或集成验证
关联用例：AC05 AC06 AC09 AC10 AC13 AC17 AC18</x:v>
      </x:c>
      <x:c r="G10" s="18" t="str">
        <x:v>现有：沿用宿主公共能力
拟新增或生成
docs/video-knowledge/integration-contracts-v1.md</x:v>
      </x:c>
      <x:c r="H10" s="18" t="str"/>
      <x:c r="I10" s="18" t="str">
        <x:v>S01 S02 S03 S07 S08 S09 S17</x:v>
      </x:c>
    </x:row>
    <x:row r="11" ht="76" hidden="0" customHeight="1">
      <x:c r="A11" s="16" t="str">
        <x:v>FND-003</x:v>
      </x:c>
      <x:c r="B11" s="16" t="str">
        <x:v>建立授权样本与人工标注基线</x:v>
      </x:c>
      <x:c r="C11" s="16" t="str">
        <x:v>1. 默认建议40条视频、60个问答、120条引用与20个Skill用例；M0可校准规模，但保留所有风险类别；冻结取得方式、标签、答案和负向问题。</x:v>
      </x:c>
      <x:c r="D11" s="16" t="str">
        <x:v>1. 版本化样本清单
2. 人工标注与评分规则</x:v>
      </x:c>
      <x:c r="E11" s="16" t="str">
        <x:v>1. B站和抖音、有无字幕、长视频、静音视觉、噪声、转载和错误夹具均覆盖；评分不是模型自评；样本不含无权分发的内容。</x:v>
      </x:c>
      <x:c r="F11" s="16" t="str">
        <x:v>针对该任务的契约或集成验证
关联用例：AC01 AC02 AC08 AC10 AC12 AC14 AC26 AC27 AC29</x:v>
      </x:c>
      <x:c r="G11" s="16" t="str">
        <x:v>现有：沿用宿主公共能力
拟新增或生成
tests/video-knowledge/evaluation/manifest.json
tests/video-knowledge/evaluation/rubric.md</x:v>
      </x:c>
      <x:c r="H11" s="16" t="str"/>
      <x:c r="I11" s="16" t="str">
        <x:v>S02 S05 S06 S07 S12 S18</x:v>
      </x:c>
    </x:row>
    <x:row r="12" ht="76" hidden="0" customHeight="1">
      <x:c r="A12" s="18" t="str">
        <x:v>FND-004</x:v>
      </x:c>
      <x:c r="B12" s="18" t="str">
        <x:v>锁定依赖和开源通知</x:v>
      </x:c>
      <x:c r="C12" s="18" t="str">
        <x:v>1. 记录BiliNote、DTK、宿主commit与镜像digest，审查实际保留依赖和许可证通知；移除未使用的UI、独立RAG及导出链路，建立升级审阅规则。</x:v>
      </x:c>
      <x:c r="D12" s="18" t="str">
        <x:v>1. 依赖清单与NOTICE
2. 最小复用模块清单</x:v>
      </x:c>
      <x:c r="E12" s="18" t="str">
        <x:v>1. 最终打包依赖逐项可追溯；不把根LICENSE当作所有依赖的许可；不追随未验证的main。</x:v>
      </x:c>
      <x:c r="F12" s="18" t="str">
        <x:v>针对该任务的契约或集成验证
关联用例：AC24</x:v>
      </x:c>
      <x:c r="G12" s="18" t="str">
        <x:v>现有：沿用宿主公共能力
拟新增或生成
docs/video-knowledge/dependencies.json
services/video-knowledge/NOTICE</x:v>
      </x:c>
      <x:c r="H12" s="18" t="str"/>
      <x:c r="I12" s="18" t="str">
        <x:v>S01 S13 S15</x:v>
      </x:c>
    </x:row>
    <x:row r="13" ht="76" hidden="0" customHeight="1">
      <x:c r="A13" s="16" t="str">
        <x:v>FND-005</x:v>
      </x:c>
      <x:c r="B13" s="16" t="str">
        <x:v>完成双平台和宿主接口可行性验证</x:v>
      </x:c>
      <x:c r="C13" s="16" t="str">
        <x:v>1. 使用可用来源真实发现、下载与处理少量样本；核对字幕/音轨能力、DTK端点和异步结果未知行为；验证宿主Streamable HTTP及可信内部路径方案。</x:v>
      </x:c>
      <x:c r="D13" s="16" t="str">
        <x:v>1. 实测能力矩阵
2. 处理耗时与资源测量
3. 阻塞项清单</x:v>
      </x:c>
      <x:c r="E13" s="16" t="str">
        <x:v>1. README声明与实测结果分列；可生成真实job和处理产物；未实测成功率不预填；M0更新范围、资源与估算。</x:v>
      </x:c>
      <x:c r="F13" s="16" t="str">
        <x:v>针对该任务的契约或集成验证
关联用例：AC01 AC02 AC05 AC08 AC18 AC21 AC24 AC27 AC29</x:v>
      </x:c>
      <x:c r="G13" s="16" t="str">
        <x:v>现有：沿用宿主公共能力
拟新增或生成
docs/video-knowledge/feasibility-results.md</x:v>
      </x:c>
      <x:c r="H13" s="16" t="str"/>
      <x:c r="I13" s="16" t="str">
        <x:v>S01 S02 S03 S04 S05 S07 S10 S13 S15 S16 S17 S18</x:v>
      </x:c>
    </x:row>
    <x:row r="14" ht="98.19999694824219" hidden="0" customHeight="1">
      <x:c r="A14" s="18" t="str">
        <x:v>IF-001</x:v>
      </x:c>
      <x:c r="B14" s="18" t="str">
        <x:v>冻结宿主接入边界与现有能力基线</x:v>
      </x:c>
      <x:c r="C14" s="18" t="str">
        <x:v>1. 把固定SHA核查结果转为集成ADR，明确Gateway是MCP client、通用Skill与Flow Skill两条路径、唯一宿主域服务及V1源控发布机制。</x:v>
      </x:c>
      <x:c r="D14" s="18" t="str">
        <x:v>1. 集成ADR
2. 入口与数据所有权图</x:v>
      </x:c>
      <x:c r="E14" s="18" t="str">
        <x:v>1. PRD每项能力标为现有/复用修改/拟新增；不以仓库名或上游README推断已实现。
2. MCP、API、定时、手动入口在架构图指向同一个COL域服务。
3. 确认P0、P1、P2边界及人工发布责任。</x:v>
      </x:c>
      <x:c r="F14" s="18" t="str">
        <x:v>针对该任务的契约或集成验证
关联用例：AC05 AC18 AC20 AC24 AC25</x:v>
      </x:c>
      <x:c r="G14" s="18" t="str">
        <x:v>现有修改
backend/internal/flow/mcp.go
backend/internal/flow/skills.go
industry-packs/README.md
拟新增或生成
docs/video-knowledge/integration-decisions.md</x:v>
      </x:c>
      <x:c r="H14" s="18" t="str"/>
      <x:c r="I14" s="18" t="str">
        <x:v>S01 S03 S06 S07 S11 S12 S13 S15 S17</x:v>
      </x:c>
    </x:row>
    <x:row r="15" ht="98.19999694824219" hidden="0" customHeight="1">
      <x:c r="A15" s="16" t="str">
        <x:v>K-001</x:v>
      </x:c>
      <x:c r="B15" s="16" t="str">
        <x:v>冻结知识处理复用边界与processing profiles</x:v>
      </x:c>
      <x:c r="C15" s="16" t="str">
        <x:v>1. 对齐BiliNote抽取模块、宿主ASR/OCR/Model Gateway、audio_only与multimodal profile和完整性语义。</x:v>
      </x:c>
      <x:c r="D15" s="16" t="str">
        <x:v>1. 模块复用清单
2. 处理profile schema
3. 输入范围与预算配置</x:v>
      </x:c>
      <x:c r="E15" s="16" t="str">
        <x:v>1. 所有需求可映射到复用或新增模块；不新增BiliNote主RAG/账号系统
2. 每个profile声明required/optional branch、范围、语言和超限行为；性能阈值标为建议基线</x:v>
      </x:c>
      <x:c r="F15" s="16" t="str">
        <x:v>针对该任务的契约或集成验证
关联用例：AC01 AC08 AC09 AC10 AC24</x:v>
      </x:c>
      <x:c r="G15" s="16" t="str">
        <x:v>现有修改
backend/internal/flow/skills.go
services/loom-engine/flow/enrichment.ts
拟新增或生成
docs/video-knowledge/processing-profiles.md
services/loom-engine/flow/video/profiles.ts</x:v>
      </x:c>
      <x:c r="H15" s="16" t="str"/>
      <x:c r="I15" s="16" t="str">
        <x:v>S01 S04 S05 S13 S14 S15</x:v>
      </x:c>
    </x:row>
    <x:row r="16" ht="85.5999984741211" hidden="0" customHeight="1">
      <x:c r="A16" s="18" t="str">
        <x:v>CFG-001</x:v>
      </x:c>
      <x:c r="B16" s="18" t="str">
        <x:v>实现工作区领域配置与版本API</x:v>
      </x:c>
      <x:c r="C16" s="18" t="str">
        <x:v>1. 新增工作区领域配置的持久化与读写API，包含术语、问题范围、知识类型、复核策略及处理profile引用；每次保存生成不可变版本，运行时冻结。
2. 接入现有scope鉴权与预期版本校验；来源引用可验证的profile版本，不从生成导出目录直接加载运行配置。</x:v>
      </x:c>
      <x:c r="D16" s="18" t="str">
        <x:v>1. 领域配置迁移
2. 版本化profile API
3. 来源绑定校验</x:v>
      </x:c>
      <x:c r="E16" s="18" t="str">
        <x:v>1. 同workspace多领域独立；并发保存冲突可见；配置修改不改变历史run；跨workspace profile引用被拒绝。</x:v>
      </x:c>
      <x:c r="F16" s="18" t="str">
        <x:v>针对该任务的契约或集成验证
关联用例：AC17</x:v>
      </x:c>
      <x:c r="G16" s="18" t="str">
        <x:v>现有：沿用宿主公共能力
拟新增或生成
services/loom-engine/flow/video/domain-profiles.ts
services/loom-engine/flow/migrations/&lt;next&gt;_domain_profiles.sql</x:v>
      </x:c>
      <x:c r="H16" s="18" t="str"/>
      <x:c r="I16" s="18" t="str">
        <x:v>S01 S03 S06 S09</x:v>
      </x:c>
    </x:row>
    <x:row r="17" ht="98.19999694824219" hidden="0" customHeight="1">
      <x:c r="A17" s="16" t="str">
        <x:v>COL-003</x:v>
      </x:c>
      <x:c r="B17" s="16" t="str">
        <x:v>增加视频来源和持久作业迁移</x:v>
      </x:c>
      <x:c r="C17" s="16" t="str">
        <x:v>1. 追加迁移扩展source kind CHECK，不编辑已发布迁移。
2. 新增video_jobs、video_job_attempts/provider_tasks、media_assets和discovery_checkpoints所需表或等价字段；复用tenant/workspace/document关联。
3. 建立scope内稳定内容身份、幂等请求键、provider instance+external_task_id及job阶段唯一约束；保留source membership。
4. 记录pipeline/profile版本、输入hash、状态、下次轮询/重试、租约owner/token及错误分类。</x:v>
      </x:c>
      <x:c r="D17" s="16" t="str">
        <x:v>1. 已实现的模块与契约
2. 对应验证记录</x:v>
      </x:c>
      <x:c r="E17" s="16" t="str">
        <x:v>1. 旧rss/telegram/wechat数据迁移后可读可跑。
2. 唯一约束拒绝同scope重复运行和跨租户错误关联。
3. 升级可重复执行；回滚采用兼容代码+关闭功能，不通过破坏性drop表删除新增数据。</x:v>
      </x:c>
      <x:c r="F17" s="16" t="str">
        <x:v>针对该任务的契约或集成验证
关联用例：AC01 AC02 AC05 AC06 AC17 AC21 AC24 AC28</x:v>
      </x:c>
      <x:c r="G17" s="16" t="str">
        <x:v>现有修改
services/loom-engine/flow/migrations/0004_connectors.sql
services/loom-engine/flow/migrations/0012_job_states_misfire.sql
拟新增或生成
services/loom-engine/flow/migrations/NNNN_video_sources_jobs.sql</x:v>
      </x:c>
      <x:c r="H17" s="16" t="str"/>
      <x:c r="I17" s="16" t="str">
        <x:v>S01 S02 S03 S09 S10 S15</x:v>
      </x:c>
    </x:row>
    <x:row r="18" ht="98.19999694824219" hidden="0" customHeight="1">
      <x:c r="A18" s="18" t="str">
        <x:v>COL-004</x:v>
      </x:c>
      <x:c r="B18" s="18" t="str">
        <x:v>接入现有来源创建/修改校验</x:v>
      </x:c>
      <x:c r="C18" s="18" t="str">
        <x:v>1. 扩展createSource/updateSource与固定字段校验，沿用existing /api/intelligence/sources。
2. 来源URL、平台、模式、作者ID、采集范围、授权备注/凭据引用通过已有workspace权限确定。
3. 创建只保存配置；单次立即采集由显式run操作触发，持续任务由host schedule执行。
4. 禁止仅在legacy collectors加adapter而遗漏主Flow创建与数据库约束。</x:v>
      </x:c>
      <x:c r="D18" s="18" t="str">
        <x:v>1. 已实现的模块与契约
2. 对应验证记录</x:v>
      </x:c>
      <x:c r="E18" s="18" t="str">
        <x:v>1. 同scope重复创建归一URL按产品约定返回原源或明确冲突。
2. 无权限用户/伪造workspace不能创建或修改源。
3. 保存source不会暗中启用DTK watchlist或新增独立cron。</x:v>
      </x:c>
      <x:c r="F18" s="18" t="str">
        <x:v>针对该任务的契约或集成验证
关联用例：AC01 AC02 AC21</x:v>
      </x:c>
      <x:c r="G18" s="18" t="str">
        <x:v>现有修改
services/loom-engine/flow/engine.ts
services/loom-engine/flow/server.ts
backend/internal/flow/routes.go
拟新增或生成
services/loom-engine/flow/video/source-validation.ts</x:v>
      </x:c>
      <x:c r="H18" s="18" t="str">
        <x:v>协作接口：IF:宿主来源配置UI</x:v>
      </x:c>
      <x:c r="I18" s="18" t="str">
        <x:v>S02 S10 S15</x:v>
      </x:c>
    </x:row>
    <x:row r="19" ht="98.19999694824219" hidden="0" customHeight="1">
      <x:c r="A19" s="16" t="str">
        <x:v>COL-005</x:v>
      </x:c>
      <x:c r="B19" s="16" t="str">
        <x:v>配置平台凭据和内部服务密钥</x:v>
      </x:c>
      <x:c r="C19" s="16" t="str">
        <x:v>1. 区分宿主→DTK服务Key与平台登录Cookie/身份引用；凭据配置复用宿主secret机制和部署配置。
2. source仅保存credential_ref，不保存或展示密钥/Cookie；Agent不能导出。
3. 明确实例服务身份与workspace可用source授权关系；不足以隔离的平台身份按workspace隔离实例或由内部映射执行，不能假定DTK多用户等于多租户。
4. 凭据失效转needs_auth并停止无意义重试；更换后显式恢复待处理任务。</x:v>
      </x:c>
      <x:c r="D19" s="16" t="str">
        <x:v>1. 已实现的模块与契约
2. 对应验证记录</x:v>
      </x:c>
      <x:c r="E19" s="16" t="str">
        <x:v>1. 配置、接口、事件、日志和MCP输出不包含明文secret。
2. 撤销source授权后新轮次不启动，运行任务在阶段边界重新检查。
3. 只读Agent没有凭据管理接口。</x:v>
      </x:c>
      <x:c r="F19" s="16" t="str">
        <x:v>针对该任务的契约或集成验证
关联用例：AC01 AC02 AC17 AC21</x:v>
      </x:c>
      <x:c r="G19" s="16" t="str">
        <x:v>现有修改
backend/internal/flow/mcp_secrets.go
services/loom-engine/env.example
拟新增或生成
services/loom-engine/flow/video/credentials.ts
services/loom-engine/env-templates/video-ingest.env</x:v>
      </x:c>
      <x:c r="H19" s="16" t="str"/>
      <x:c r="I19" s="16" t="str">
        <x:v>S01 S02 S03 S09 S10 S15</x:v>
      </x:c>
    </x:row>
    <x:row r="20" ht="98.19999694824219" hidden="0" customHeight="1">
      <x:c r="A20" s="18" t="str">
        <x:v>COL-006</x:v>
      </x:c>
      <x:c r="B20" s="18" t="str">
        <x:v>实现受信DTK内部REST适配器</x:v>
      </x:c>
      <x:c r="C20" s="18" t="str">
        <x:v>1. 以部署管理员固定的DTK origin调用选定REST端点；不接受模型或source提供任意内部endpoint。
2. 设置短请求超时、禁止携带认证跨域redirect、控制响应体上限，支持取消signal。
3. 保留通用MCP PublicTransport与10–30秒timeout规则，不以AllowInsecure全局绕过。
4. 适配器接口覆盖resolve/list/createDownload/readDownload/readTask/readMedia，实际路由以锁定版本OpenAPI为准。</x:v>
      </x:c>
      <x:c r="D20" s="18" t="str">
        <x:v>1. 已实现的模块与契约
2. 对应验证记录</x:v>
      </x:c>
      <x:c r="E20" s="18" t="str">
        <x:v>1. DTK健康实例能完成fixture契约调用；schema不匹配返回provider_contract_changed。
2. 任意127.0.0.1/metadata/其他内网地址无法经用户输入成为目标。
3. 通用MCP私网访问防护回归测试仍通过。</x:v>
      </x:c>
      <x:c r="F20" s="18" t="str">
        <x:v>针对该任务的契约或集成验证
关联用例：AC01 AC02 AC19 AC20</x:v>
      </x:c>
      <x:c r="G20" s="18" t="str">
        <x:v>现有修改
services/loom-engine/flow/connectors.ts
backend/internal/flow/egress.go
拟新增或生成
services/loom-engine/flow/video/providers/dtk.ts
services/loom-engine/flow/video/internal-transport.ts</x:v>
      </x:c>
      <x:c r="H20" s="18" t="str"/>
      <x:c r="I20" s="18" t="str">
        <x:v>S03 S09 S15 S16</x:v>
      </x:c>
    </x:row>
    <x:row r="21" ht="76" hidden="0" customHeight="1">
      <x:c r="A21" s="16" t="str">
        <x:v>COL-007</x:v>
      </x:c>
      <x:c r="B21" s="16" t="str">
        <x:v>归一化B站与抖音元数据</x:v>
      </x:c>
      <x:c r="C21" s="16" t="str">
        <x:v>1. 统一作者、视频ID、part、标题、发布日期、时长、封面和canonical URL。
2. 保留原始provider响应hash及受控归档；缺字段用null和missing_reason。
3. 临时CDN URL只作短期下载定位，不替代canonical source URL。</x:v>
      </x:c>
      <x:c r="D21" s="16" t="str">
        <x:v>1. 已实现的模块与契约
2. 对应验证记录</x:v>
      </x:c>
      <x:c r="E21" s="16" t="str">
        <x:v>1. B站BV/av/短链与抖音分享文案fixture归一结果稳定。
2. 丢字段/异常ID不生成伪造ID、0时长或今天发布日期。
3. 含恶意标题/指令的外部文本只作为内容数据。</x:v>
      </x:c>
      <x:c r="F21" s="16" t="str">
        <x:v>针对该任务的契约或集成验证
关联用例：AC01 AC02 AC04 AC21</x:v>
      </x:c>
      <x:c r="G21" s="16" t="str">
        <x:v>现有修改
services/loom-engine/flow/connectors.ts
拟新增或生成
services/loom-engine/flow/video/normalize.ts</x:v>
      </x:c>
      <x:c r="H21" s="16" t="str"/>
      <x:c r="I21" s="16" t="str">
        <x:v>S02 S10 S15</x:v>
      </x:c>
    </x:row>
    <x:row r="22" ht="85.5999984741211" hidden="0" customHeight="1">
      <x:c r="A22" s="18" t="str">
        <x:v>COL-008</x:v>
      </x:c>
      <x:c r="B22" s="18" t="str">
        <x:v>完成单视频发现与显式导入</x:v>
      </x:c>
      <x:c r="C22" s="18" t="str">
        <x:v>1. 单视频源调用resolve/detail，按内容身份创建或复用video job，返回host operation_id/job_id。
2. 校验B站part存在及媒体可访问；版权/授权声明等信息按产品流程记录。
3. 只提交持久任务，HTTP/MCP不等待视频下载完成。</x:v>
      </x:c>
      <x:c r="D22" s="18" t="str">
        <x:v>1. 已实现的模块与契约
2. 对应验证记录</x:v>
      </x:c>
      <x:c r="E22" s="18" t="str">
        <x:v>1. 同一视频重复提交不重复排队；换part产生独立job。
2. 不存在、私有/授权不足或下架内容有稳定错误码。
3. 取消客户端连接不丢已提交的host job。</x:v>
      </x:c>
      <x:c r="F22" s="18" t="str">
        <x:v>针对该任务的契约或集成验证
关联用例：AC01 AC02 AC05 AC06 AC21</x:v>
      </x:c>
      <x:c r="G22" s="18" t="str">
        <x:v>现有修改
services/loom-engine/flow/engine.ts
services/loom-engine/flow/server.ts
拟新增或生成
services/loom-engine/flow/video/discover-single.ts</x:v>
      </x:c>
      <x:c r="H22" s="18" t="str">
        <x:v>协作接口：IF:submit/status薄封装</x:v>
      </x:c>
      <x:c r="I22" s="18" t="str">
        <x:v>S02 S03 S10 S15</x:v>
      </x:c>
    </x:row>
    <x:row r="23" ht="85.5999984741211" hidden="0" customHeight="1">
      <x:c r="A23" s="16" t="str">
        <x:v>COL-009</x:v>
      </x:c>
      <x:c r="B23" s="16" t="str">
        <x:v>实现作者增量发现与有界分页</x:v>
      </x:c>
      <x:c r="C23" s="16" t="str">
        <x:v>1. 分页读取作者作品，记录stable watermark与临时pagination cursor；不把不透明token当永久内容水位。
2. 首次只导入明确限定的最近数量/日期窗口；默认值为可配置建议基线。
3. 遇页数/时间/配额上限保留checkpoint并返回coverage.partial，不推进完整水位。
4. 允许历史视频元数据修订与作者置顶视频，去重不只依赖时间排序。</x:v>
      </x:c>
      <x:c r="D23" s="16" t="str">
        <x:v>1. 已实现的模块与契约
2. 对应验证记录</x:v>
      </x:c>
      <x:c r="E23" s="16" t="str">
        <x:v>1. 多页期间插入新视频、置顶旧视频、页面重叠时不漏已有测试窗口。
2. 页数上限导致partial并能下轮从checkpoint继续。
3. 未返回任何作品时区分真实empty、风控、解析错误。</x:v>
      </x:c>
      <x:c r="F23" s="16" t="str">
        <x:v>针对该任务的契约或集成验证
关联用例：AC04</x:v>
      </x:c>
      <x:c r="G23" s="16" t="str">
        <x:v>现有修改
services/loom-engine/flow/engine.ts
services/loom-engine/flow/connectors.ts
拟新增或生成
services/loom-engine/flow/video/discover-author.ts</x:v>
      </x:c>
      <x:c r="H23" s="16" t="str"/>
      <x:c r="I23" s="16" t="str">
        <x:v>S02 S15</x:v>
      </x:c>
    </x:row>
    <x:row r="24" ht="76" hidden="0" customHeight="1">
      <x:c r="A24" s="18" t="str">
        <x:v>COL-010</x:v>
      </x:c>
      <x:c r="B24" s="18" t="str">
        <x:v>实现发现结果、任务与游标原子提交</x:v>
      </x:c>
      <x:c r="C24" s="18" t="str">
        <x:v>1. 在同一事务提交发现记录/source membership、待执行video job、游标checkpoint及outbox。
2. 只有确认覆盖前序边界后更新committed watermark；下载成功不作为发现水位提交条件，但所有被发现内容必须已持久化为待处理任务。
3. DB commit结果不明时按发现batch幂等键及outbox核对，禁止直接跳水位。</x:v>
      </x:c>
      <x:c r="D24" s="18" t="str">
        <x:v>1. 已实现的模块与契约
2. 对应验证记录</x:v>
      </x:c>
      <x:c r="E24" s="18" t="str">
        <x:v>1. 在写任务前/后、COMMIT前/后故障注入，恢复后无漏视频且不重复有效job。
2. 同一作者由两个并发扫描器处理仍保持单调checkpoint与可解释coverage。
3. 单项规范化失败被记录，不能静默丢弃并标complete。</x:v>
      </x:c>
      <x:c r="F24" s="18" t="str">
        <x:v>针对该任务的契约或集成验证
关联用例：AC04 AC05 AC06</x:v>
      </x:c>
      <x:c r="G24" s="18" t="str">
        <x:v>现有修改
services/loom-engine/flow/engine.ts
拟新增或生成
services/loom-engine/flow/video/discovery-commit.ts</x:v>
      </x:c>
      <x:c r="H24" s="18" t="str"/>
      <x:c r="I24" s="18" t="str">
        <x:v>S02 S03 S15</x:v>
      </x:c>
    </x:row>
    <x:row r="25" ht="98.19999694824219" hidden="0" customHeight="1">
      <x:c r="A25" s="16" t="str">
        <x:v>COL-011</x:v>
      </x:c>
      <x:c r="B25" s="16" t="str">
        <x:v>复用Loom唯一调度与授予检查</x:v>
      </x:c>
      <x:c r="C25" s="16" t="str">
        <x:v>1. 视频source使用现有schedule/cron/misfire/预算窗口与advisory lock。
2. 去重键使用tenant/workspace/source/scheduled_window/config_revision。
3. DTK watchlist和BiliNote后台调度不管理相同来源。
4. 源暂停、撤销、needs_auth与host budget不足要在调度列表可见。</x:v>
      </x:c>
      <x:c r="D25" s="16" t="str">
        <x:v>1. 已实现的模块与契约
2. 对应验证记录</x:v>
      </x:c>
      <x:c r="E25" s="16" t="str">
        <x:v>1. coalesce/skip/catch_up测试符合宿主既有语义。
2. 同一窗口重复tick只创建一轮发现任务。
3. 授权撤销后的计划不继续采集；无预算窗口不下发下载。</x:v>
      </x:c>
      <x:c r="F25" s="16" t="str">
        <x:v>针对该任务的契约或集成验证
关联用例：AC03 AC17 AC29</x:v>
      </x:c>
      <x:c r="G25" s="16" t="str">
        <x:v>现有修改
services/loom-engine/flow/engine.ts
services/loom-engine/flow/cron.ts
services/loom-engine/flow/main.ts
拟新增或生成
services/loom-engine/flow/video/schedule-policy.ts</x:v>
      </x:c>
      <x:c r="H25" s="16" t="str"/>
      <x:c r="I25" s="16" t="str">
        <x:v>S01 S02 S03 S08 S09</x:v>
      </x:c>
    </x:row>
    <x:row r="26" ht="98.19999694824219" hidden="0" customHeight="1">
      <x:c r="A26" s="18" t="str">
        <x:v>COL-012</x:v>
      </x:c>
      <x:c r="B26" s="18" t="str">
        <x:v>实现video job阶段状态与外部映射</x:v>
      </x:c>
      <x:c r="C26" s="18" t="str">
        <x:v>1. 宿主job为真源，外部DTK task_id/download_id是关联字段；一个source scan operation可有多个video jobs。
2. 保存阶段、attempt、generation/profile版本、provider instance与外部ID，禁止用外部ID覆盖host job_id。
3. 区分input_ready（仅实际取得媒体时另标media_ready）与knowledge_ready，队列job completed或completed_with_gaps必须带completion_level。
4. 阶段终态和输入hash不可被旧尝试写回覆盖；部分成果可保留但不伪装完整成功。</x:v>
      </x:c>
      <x:c r="D26" s="18" t="str">
        <x:v>1. 已实现的模块与契约
2. 对应验证记录</x:v>
      </x:c>
      <x:c r="E26" s="18" t="str">
        <x:v>1. 每次状态转换有允许边及CAS版本校验。
2. 状态API能说明待平台、下载中、等待提炼、需要重新授权和具体失败阶段。
3. 同名外部task_id来自不同provider实例不串任务。</x:v>
      </x:c>
      <x:c r="F26" s="18" t="str">
        <x:v>针对该任务的契约或集成验证
关联用例：AC04 AC05 AC06 AC07 AC21</x:v>
      </x:c>
      <x:c r="G26" s="18" t="str">
        <x:v>现有修改
services/loom-engine/flow/engine.ts
拟新增或生成
services/loom-engine/flow/video/jobs.ts
services/loom-engine/flow/video/state.ts</x:v>
      </x:c>
      <x:c r="H26" s="18" t="str"/>
      <x:c r="I26" s="18" t="str">
        <x:v>S02 S03 S16</x:v>
      </x:c>
    </x:row>
    <x:row r="27" ht="85.5999984741211" hidden="0" customHeight="1">
      <x:c r="A27" s="16" t="str">
        <x:v>COL-013</x:v>
      </x:c>
      <x:c r="B27" s="16" t="str">
        <x:v>实现下载提交幂等与结果不明处理</x:v>
      </x:c>
      <x:c r="C27" s="16" t="str">
        <x:v>1. 以宿主job+阶段+输入hash产生确定性提交身份；提交intent先持久化再调用provider。
2. 利用锁定DTK已有相同视频/part在途或完成记录复用，但不假定其支持任意Idempotency-Key。
3. 若provider已接单但响应丢失，标reconciliation_required，通过内容身份/任务列表/本地映射核对；无法证明时不盲目重复提交。
4. 明确at-least-once投递+幂等效果，不承诺跨系统exactly-once。</x:v>
      </x:c>
      <x:c r="D27" s="16" t="str">
        <x:v>1. 已实现的模块与契约
2. 对应验证记录</x:v>
      </x:c>
      <x:c r="E27" s="16" t="str">
        <x:v>1. 请求发出后断连再恢复只关联同一有效下载或进入人工可解释reconcile。
2. 相同key不同输入hash返回冲突。
3. already downloaded文件丢失/被淘汰时可受控重建资产而非误报可用。
4. 远端接受后响应丢失：先对账，无法确定时进入reconciliation_required；未验证提供方任意幂等键支持前不得宣称exactly once。</x:v>
      </x:c>
      <x:c r="F27" s="16" t="str">
        <x:v>针对该任务的契约或集成验证
关联用例：AC04 AC05 AC06 AC07 AC21</x:v>
      </x:c>
      <x:c r="G27" s="16" t="str">
        <x:v>现有修改
backend/internal/flow/command_outbox.go
拟新增或生成
services/loom-engine/flow/video/download-submit.ts</x:v>
      </x:c>
      <x:c r="H27" s="16" t="str"/>
      <x:c r="I27" s="16" t="str">
        <x:v>S02 S03 S16</x:v>
      </x:c>
    </x:row>
    <x:row r="28" ht="76" hidden="0" customHeight="1">
      <x:c r="A28" s="18" t="str">
        <x:v>COL-014</x:v>
      </x:c>
      <x:c r="B28" s="18" t="str">
        <x:v>实现外部任务轮询与短调用返回</x:v>
      </x:c>
      <x:c r="C28" s="18" t="str">
        <x:v>1. 按next_poll_at独立轮询DTK状态，不在MCP或单次source fetch中长等待。
2. 每次HTTP短超时，小JSON返回；视频正文/全量转写经manifest/document读取。
3. 识别done/partial/failed/cancelled及下载记录与task结果不一致，优先核验真实媒体记录。
4. poll与retry不同：pending不会增加重新提交次数。</x:v>
      </x:c>
      <x:c r="D28" s="18" t="str">
        <x:v>1. 已实现的模块与契约
2. 对应验证记录</x:v>
      </x:c>
      <x:c r="E28" s="18" t="str">
        <x:v>1. 数十分钟模拟provider job不占用单次MCP连接。
2. 重启后从保存的external_task_id继续查询。
3. pending连续返回不会产生多份下载或无限紧密轮询。</x:v>
      </x:c>
      <x:c r="F28" s="18" t="str">
        <x:v>针对该任务的契约或集成验证
关联用例：AC05 AC06 AC18</x:v>
      </x:c>
      <x:c r="G28" s="18" t="str">
        <x:v>现有修改
services/loom-engine/flow/main.ts
拟新增或生成
services/loom-engine/flow/video/provider-poll.ts</x:v>
      </x:c>
      <x:c r="H28" s="18" t="str">
        <x:v>协作接口：IF:10–30秒MCP短提交/状态响应约束</x:v>
      </x:c>
      <x:c r="I28" s="18" t="str">
        <x:v>S02 S03 S07 S17</x:v>
      </x:c>
    </x:row>
    <x:row r="29" ht="76" hidden="0" customHeight="1">
      <x:c r="A29" s="16" t="str">
        <x:v>COL-015</x:v>
      </x:c>
      <x:c r="B29" s="16" t="str">
        <x:v>将下载媒体流式导入现有对象存储</x:v>
      </x:c>
      <x:c r="C29" s="16" t="str">
        <x:v>1. 通过受信provider媒体读取接口或受控共享卷流式入MinIO，不让Agent接触服务器路径。
2. 流式计算sha256，先写临时对象，校验大小/摘要/容器类型后提交asset记录。
3. 恢复时识别完整对象与临时对象；对象导入与DB提交间的不明结果可核对。
4. 存原始视频/可选音轨的明确策略，并限制大小与总量。</x:v>
      </x:c>
      <x:c r="D29" s="16" t="str">
        <x:v>1. 已实现的模块与契约
2. 对应验证记录</x:v>
      </x:c>
      <x:c r="E29" s="16" t="str">
        <x:v>1. 大于进程内存预算的测试对象不会被整块Buffer加载。
2. 中断传输不会把半文件标stored；重试不误用半文件。
3. 媒体hash、字节数、content type与source job关联一致。</x:v>
      </x:c>
      <x:c r="F29" s="16" t="str">
        <x:v>针对该任务的契约或集成验证
关联用例：AC01 AC02 AC19 AC20</x:v>
      </x:c>
      <x:c r="G29" s="16" t="str">
        <x:v>现有修改
services/loom-engine/flow/gaps9.ts
拟新增或生成
services/loom-engine/flow/video/media-transfer.ts</x:v>
      </x:c>
      <x:c r="H29" s="16" t="str"/>
      <x:c r="I29" s="16" t="str">
        <x:v>S03 S09 S15 S16</x:v>
      </x:c>
    </x:row>
    <x:row r="30" ht="98.19999694824219" hidden="0" customHeight="1">
      <x:c r="A30" s="18" t="str">
        <x:v>COL-016</x:v>
      </x:c>
      <x:c r="B30" s="18" t="str">
        <x:v>推广scope媒体对象键并保留访问防护</x:v>
      </x:c>
      <x:c r="C30" s="18" t="str">
        <x:v>1. 将仅Telegram的SCOPED_MEDIA_KEY改为显式支持video资产的受限契约，保留旧key兼容。
2. 新增平台/part/hash路径时同时更新读取授权、ASR/OCR入队判断和migration策略。
3. 拒绝越权scope、路径遍历、非登记对象；不通过删除正则校验解决兼容。</x:v>
      </x:c>
      <x:c r="D30" s="18" t="str">
        <x:v>1. 已实现的模块与契约
2. 对应验证记录</x:v>
      </x:c>
      <x:c r="E30" s="18" t="str">
        <x:v>1. 旧Telegram媒体回归可读可转写。
2. B站/抖音合法视频资产可被K组ASR接收。
3. 他租户object key、..、大小写/编码混淆均不能越权读取。</x:v>
      </x:c>
      <x:c r="F30" s="18" t="str">
        <x:v>针对该任务的契约或集成验证
关联用例：AC01 AC02 AC17</x:v>
      </x:c>
      <x:c r="G30" s="18" t="str">
        <x:v>现有修改
services/loom-engine/flow/connectors.ts
services/loom-engine/flow/gaps9.ts
services/loom-engine/flow/engine.ts
拟新增或生成
services/loom-engine/flow/video/media-keys.ts</x:v>
      </x:c>
      <x:c r="H30" s="18" t="str">
        <x:v>协作接口：K:ASR/OCR媒体输入契约</x:v>
      </x:c>
      <x:c r="I30" s="18" t="str">
        <x:v>S01 S03 S09 S15 S16</x:v>
      </x:c>
    </x:row>
    <x:row r="31" ht="85.5999984741211" hidden="0" customHeight="1">
      <x:c r="A31" s="16" t="str">
        <x:v>COL-017</x:v>
      </x:c>
      <x:c r="B31" s="16" t="str">
        <x:v>为长阶段作业实现claim/heartbeat/fencing</x:v>
      </x:c>
      <x:c r="C31" s="16" t="str">
        <x:v>1. 使用PG claim+SKIP LOCKED、到期租约接管、定时heartbeat和fencing token。
2. 下载/长处理独立于现有短fetcher；不依赖execute开始一次heartbeat支撑长视频。
3. 每次阶段完成和外部状态落库检查owner/token/attempt generation。
4. 限制每workspace与provider并发并避免单来源占满队列。</x:v>
      </x:c>
      <x:c r="D31" s="16" t="str">
        <x:v>1. 已实现的模块与契约
2. 对应验证记录</x:v>
      </x:c>
      <x:c r="E31" s="16" t="str">
        <x:v>1. 杀死worker后另一个worker可恢复；旧worker恢复不能覆盖新结果。
2. 两个worker并发claim同job仅一方提交状态。
3. heartbeat失效触发安全停止/等待核对而非继续产生不可控副作用。</x:v>
      </x:c>
      <x:c r="F31" s="16" t="str">
        <x:v>针对该任务的契约或集成验证
关联用例：AC04 AC05 AC06 AC07 AC21</x:v>
      </x:c>
      <x:c r="G31" s="16" t="str">
        <x:v>现有修改
services/loom-engine/flow/engine.ts
services/loom-engine/flow/main.ts
拟新增或生成
services/loom-engine/flow/video/job-leases.ts</x:v>
      </x:c>
      <x:c r="H31" s="16" t="str"/>
      <x:c r="I31" s="16" t="str">
        <x:v>S02 S03 S16</x:v>
      </x:c>
    </x:row>
    <x:row r="32" ht="85.5999984741211" hidden="0" customHeight="1">
      <x:c r="A32" s="18" t="str">
        <x:v>COL-018</x:v>
      </x:c>
      <x:c r="B32" s="18" t="str">
        <x:v>统一provider错误、退避和熔断</x:v>
      </x:c>
      <x:c r="C32" s="18" t="str">
        <x:v>1. 分类invalid/not_found/permission/needs_auth/rate_limited/transient/contract_changed/storage_error。
2. 尊重Retry-After，指数退避+jitter+上限；401/403凭据失效不无限重试。
3. 按provider+平台+凭据组限制并发和熔断，单个内容永久错误不熔断整个平台。
4. 出站错误与parse错误不都归为网络失败。</x:v>
      </x:c>
      <x:c r="D32" s="18" t="str">
        <x:v>1. 已实现的模块与契约
2. 对应验证记录</x:v>
      </x:c>
      <x:c r="E32" s="18" t="str">
        <x:v>1. 429、503、DNS超时、认证失效、schema变化分别得到预期状态与下次时间。
2. 达到重试上限进入可见失败/人工恢复，不永远running。
3. 风控不触发自动规避权限的登录/验证码绕过流程。</x:v>
      </x:c>
      <x:c r="F32" s="18" t="str">
        <x:v>针对该任务的契约或集成验证
关联用例：AC04 AC06 AC07 AC21</x:v>
      </x:c>
      <x:c r="G32" s="18" t="str">
        <x:v>现有修改
services/loom-engine/flow/engine.ts
拟新增或生成
services/loom-engine/flow/video/errors.ts
services/loom-engine/flow/video/backoff.ts</x:v>
      </x:c>
      <x:c r="H32" s="18" t="str"/>
      <x:c r="I32" s="18" t="str">
        <x:v>S02 S16</x:v>
      </x:c>
    </x:row>
    <x:row r="33" ht="85.5999984741211" hidden="0" customHeight="1">
      <x:c r="A33" s="16" t="str">
        <x:v>COL-019</x:v>
      </x:c>
      <x:c r="B33" s="16" t="str">
        <x:v>取消、恢复和不确定结果对账</x:v>
      </x:c>
      <x:c r="C33" s="16" t="str">
        <x:v>1. 宿主取消记录先落库；支持provider取消则尝试取消，否则停止后续处理并说明远端未确认。
2. reconciler核对provider、object store、host job，重启后恢复到已证实阶段。
3. 来源撤销/权限变化后不再传递产物到新知识处理；已保留结果按访问控制与留存政策处理。
4. 不可确定的外部重复任务提供人工核对入口，不以盲重试解决。</x:v>
      </x:c>
      <x:c r="D33" s="16" t="str">
        <x:v>1. 已实现的模块与契约
2. 对应验证记录</x:v>
      </x:c>
      <x:c r="E33" s="16" t="str">
        <x:v>1. 取消与provider完成并发时只产生一致终态，不发布取消内容。
2. DB写成功响应丢失/对象写成功DB失败可正确恢复。
3. 取消被重复请求幂等，操作日志记录是否确认远端停止。
4. 宿主取消与远端requested/confirmed/unsupported/unknown分开；迟到产物隔离清理，真实usage仍记录。</x:v>
      </x:c>
      <x:c r="F33" s="16" t="str">
        <x:v>针对该任务的契约或集成验证
关联用例：AC04 AC06 AC07 AC21</x:v>
      </x:c>
      <x:c r="G33" s="16" t="str">
        <x:v>现有修改
services/loom-engine/flow/engine.ts
backend/internal/flow/command_outbox.go
拟新增或生成
services/loom-engine/flow/video/reconcile.ts</x:v>
      </x:c>
      <x:c r="H33" s="16" t="str"/>
      <x:c r="I33" s="16" t="str">
        <x:v>S02 S16</x:v>
      </x:c>
    </x:row>
    <x:row r="34" ht="85.5999984741211" hidden="0" customHeight="1">
      <x:c r="A34" s="18" t="str">
        <x:v>COL-020</x:v>
      </x:c>
      <x:c r="B34" s="18" t="str">
        <x:v>接入现有预算与资源准入</x:v>
      </x:c>
      <x:c r="C34" s="18" t="str">
        <x:v>1. 复用宿主预算预留/结算，不新建独立充值套餐系统。
2. 加入视频数量、时长、字节、作者扫描页数、每日用量与存储水位限制。
3. 下载前未知时长采用保守上限或metadata补取；实际超限停止并记录。
4. 区分采集请求数、下载字节、转写分钟、模型token，不将API限流计数冒充成本。</x:v>
      </x:c>
      <x:c r="D34" s="18" t="str">
        <x:v>1. 已实现的模块与契约
2. 对应验证记录</x:v>
      </x:c>
      <x:c r="E34" s="18" t="str">
        <x:v>1. 超预算/超大小/低磁盘水位拒绝或暂停有明确reason。
2. 任务失败/取消只结算发生费用，预留释放可重复执行。
3. 资源限制在后端生效，修改前端参数无法绕过。</x:v>
      </x:c>
      <x:c r="F34" s="18" t="str">
        <x:v>针对该任务的契约或集成验证
关联用例：AC22 AC29</x:v>
      </x:c>
      <x:c r="G34" s="18" t="str">
        <x:v>现有修改
services/loom-engine/flow/engine.ts
backend/internal/flow/billing.go
拟新增或生成
services/loom-engine/flow/video/admission.ts</x:v>
      </x:c>
      <x:c r="H34" s="18" t="str">
        <x:v>协作接口：K:ASR/视觉处理用量回传；IF:宿主预算预览展示</x:v>
      </x:c>
      <x:c r="I34" s="18" t="str">
        <x:v>S01 S02 S03</x:v>
      </x:c>
    </x:row>
    <x:row r="35" ht="98.19999694824219" hidden="0" customHeight="1">
      <x:c r="A35" s="16" t="str">
        <x:v>K-002</x:v>
      </x:c>
      <x:c r="B35" s="16" t="str">
        <x:v>建立raw/source版本与derived证据快照模型</x:v>
      </x:c>
      <x:c r="C35" s="16" t="str">
        <x:v>1. 扩展宿主数据模型，区分来源原始版本、处理产物与可引用revision；迁移与租户复合键、可见状态一致。</x:v>
      </x:c>
      <x:c r="D35" s="16" t="str">
        <x:v>1. 迁移脚本
2. 版本模型
3. 兼容策略</x:v>
      </x:c>
      <x:c r="E35" s="16" t="str">
        <x:v>1. 原始metadata、媒体hash、derived profile/model版本可独立追踪
2. 旧文档迁移不伪造时间轴；现有revision/evidence引用不失效
3. 所有新增业务键含正确tenant/workspace关联，跨scope FK写入失败</x:v>
      </x:c>
      <x:c r="F35" s="16" t="str">
        <x:v>针对该任务的契约或集成验证
关联用例：AC11 AC17</x:v>
      </x:c>
      <x:c r="G35" s="16" t="str">
        <x:v>现有修改
services/loom-engine/flow/migrations/0018_composite_keys_and_fk.sql
services/loom-engine/flow/engine.ts
拟新增或生成
services/loom-engine/flow/migrations/&lt;next&gt;_video_knowledge.sql
services/loom-engine/flow/video/revisions.ts</x:v>
      </x:c>
      <x:c r="H35" s="16" t="str"/>
      <x:c r="I35" s="16" t="str">
        <x:v>S01 S02 S03 S09</x:v>
      </x:c>
    </x:row>
    <x:row r="36" ht="98.19999694824219" hidden="0" customHeight="1">
      <x:c r="A36" s="18" t="str">
        <x:v>K-003</x:v>
      </x:c>
      <x:c r="B36" s="18" t="str">
        <x:v>定义并校验不可变artifact manifest</x:v>
      </x:c>
      <x:c r="C36" s="18" t="str">
        <x:v>1. 为外部worker到宿主import定义对象引用、哈希、完整性、版本、来源与处理范围契约；验证器由宿主独立执行。</x:v>
      </x:c>
      <x:c r="D36" s="18" t="str">
        <x:v>1. manifest JSON Schema
2. 宿主验证器
3. worker适配输入输出样例</x:v>
      </x:c>
      <x:c r="E36" s="18" t="str">
        <x:v>1. MCP摘要不携带无限转录/图片；完整对象可按manifest读取
2. 对象hash错误、scope不符、缺必填来源、伪造完成范围均拒绝
3. 同manifest内容有稳定hash；同id不同payload返回冲突</x:v>
      </x:c>
      <x:c r="F36" s="18" t="str">
        <x:v>针对该任务的契约或集成验证
关联用例：AC09 AC10 AC11 AC13</x:v>
      </x:c>
      <x:c r="G36" s="18" t="str">
        <x:v>现有修改
services/loom-engine/flow/enrichment.ts
services/loom-engine/flow/gaps9.ts
拟新增或生成
services/loom-engine/flow/video/artifact-manifest.ts
contracts/video-artifact-v1.schema.json</x:v>
      </x:c>
      <x:c r="H36" s="18" t="str">
        <x:v>协作接口：接口组受信import路由</x:v>
      </x:c>
      <x:c r="I36" s="18" t="str">
        <x:v>S02 S05 S07 S08</x:v>
      </x:c>
    </x:row>
    <x:row r="37" ht="123.4000015258789" hidden="0" customHeight="1">
      <x:c r="A37" s="16" t="str">
        <x:v>K-027</x:v>
      </x:c>
      <x:c r="B37" s="16" t="str">
        <x:v>配置首个行业知识profile与术语词表</x:v>
      </x:c>
      <x:c r="C37" s="16" t="str">
        <x:v>1. 采用宿主现有行业pack机制配置一个可评审首发profile，含知识单元字段、术语、来源质量、提炼规则和禁用/不确定边界。</x:v>
      </x:c>
      <x:c r="D37" s="16" t="str">
        <x:v>1. 一个行业profile
2. 词表/aliases
3. 审阅样例</x:v>
      </x:c>
      <x:c r="E37" s="16" t="str">
        <x:v>1. profile选择与用户实际行业一致；未确认时用通用研究profile不冒充数学能力
2. 领域专有字段与通用schema兼容，术语可回到来源原文
3. 样例包含正确提炼、证据不足、冲突与需要人工判断</x:v>
      </x:c>
      <x:c r="F37" s="16" t="str">
        <x:v>针对该任务的契约或集成验证
关联用例：</x:v>
      </x:c>
      <x:c r="G37" s="16" t="str">
        <x:v>现有修改
industry-packs/README.md
services/loom-engine/flow/terms/zh-industry.json
backend/internal/flow/skillpacks/core.json
拟新增或生成
services/loom-engine/flow/video/profiles.ts
docs/video-knowledge/domain-profile-fixtures.json
industry-packs/&lt;selected-domain&gt;/video-knowledge-profile.json（生成导出，非运行真源）</x:v>
      </x:c>
      <x:c r="H37" s="16" t="str">
        <x:v>协作接口：用户/产品选定首发行业与授权样本</x:v>
      </x:c>
      <x:c r="I37" s="16" t="str">
        <x:v>S01 S06</x:v>
      </x:c>
    </x:row>
    <x:row r="38" ht="85.5999984741211" hidden="0" customHeight="1">
      <x:c r="A38" s="18" t="str">
        <x:v>IF-002</x:v>
      </x:c>
      <x:c r="B38" s="18" t="str">
        <x:v>定义接口责任与作业标识映射</x:v>
      </x:c>
      <x:c r="C38" s="18" t="str">
        <x:v>1. 冻结operation、video_job、source revision、profile、artifact、document revision、evidence snapshot关系；接口只适配已有域服务，不自建队列。</x:v>
      </x:c>
      <x:c r="D38" s="18" t="str">
        <x:v>1. 标识与责任矩阵
2. 跨组接口映射</x:v>
      </x:c>
      <x:c r="E38" s="18" t="str">
        <x:v>1. 批量scan与单视频/分P任务标识明确，provider ID仅内部诊断。
2. source/profile/attempt/version在接口中可定位，不依赖易变URL识别任务。
3. 各阶段唯一写入责任及失败恢复责任在矩阵中无空白、无双写。</x:v>
      </x:c>
      <x:c r="F38" s="18" t="str">
        <x:v>针对该任务的契约或集成验证
关联用例：AC05 AC06 AC18</x:v>
      </x:c>
      <x:c r="G38" s="18" t="str">
        <x:v>现有修改
services/loom-engine/flow/engine.ts
web/src/services/api/intelligence.ts
拟新增或生成
contracts/video-ingestion/v1/domain-links.md</x:v>
      </x:c>
      <x:c r="H38" s="18" t="str">
        <x:v>协作接口：COL-002；K-002</x:v>
      </x:c>
      <x:c r="I38" s="18" t="str">
        <x:v>S02 S03 S07 S17</x:v>
      </x:c>
    </x:row>
    <x:row r="39" ht="123.4000015258789" hidden="0" customHeight="1">
      <x:c r="A39" s="16" t="str">
        <x:v>IF-003</x:v>
      </x:c>
      <x:c r="B39" s="16" t="str">
        <x:v>冻结MCP、受信import与ready事件契约</x:v>
      </x:c>
      <x:c r="C39" s="16" t="str">
        <x:v>1. 编写版本化JSON Schema及代表性fixture；来源/状态复用COL schema，artifact复用K schema，IF只定义传输envelope、错误和分页。</x:v>
      </x:c>
      <x:c r="D39" s="16" t="str">
        <x:v>1. 版本化schema
2. 跨语言fixtures
3. 错误码和兼容策略</x:v>
      </x:c>
      <x:c r="E39" s="16" t="str">
        <x:v>1. Go/TypeScript/Python均能校验同一合法样本，拒绝未知高危字段与错误版本。
2. worker产物态、宿主knowledge_state、publication_state分开；200或succeeded不能隐含ready。
3. 契约包含coverage、truncated、offset_unit、hash、attempt/fence和幂等字段。
4. 大型转写/帧列表只给对象引用或分页，不通过MCP全文输出。
5. input_ready与processing_complete采用条件schema；区分入口request_hash、阶段input_hash、source配置revision及内容版本。</x:v>
      </x:c>
      <x:c r="F39" s="16" t="str">
        <x:v>针对该任务的契约或集成验证
关联用例：AC05 AC09 AC10 AC13 AC18</x:v>
      </x:c>
      <x:c r="G39" s="16" t="str">
        <x:v>现有修改
backend/internal/flow/mcp.go
services/loom-engine/flow/engine.ts
拟新增或生成
contracts/video-ingestion/v1/mcp.schema.json
contracts/video-ingestion/v1/import.schema.json
contracts/video-ingestion/v1/events.schema.json
contracts/video-ingestion/v1/fixtures/</x:v>
      </x:c>
      <x:c r="H39" s="16" t="str">
        <x:v>协作接口：COL-002；K-003</x:v>
      </x:c>
      <x:c r="I39" s="16" t="str">
        <x:v>S02 S03 S07 S08 S17</x:v>
      </x:c>
    </x:row>
    <x:row r="40" ht="136" hidden="0" customHeight="1">
      <x:c r="A40" s="18" t="str">
        <x:v>IF-004</x:v>
      </x:c>
      <x:c r="B40" s="18" t="str">
        <x:v>建立可信租户上下文与服务调用授权</x:v>
      </x:c>
      <x:c r="C40" s="18" t="str">
        <x:v>1. 将已认证Flow运行、workspace绑定连接与来源grant转换为受限服务授权；模型只能选择已授予source/profile/job，不能声明tenant或秘密。</x:v>
      </x:c>
      <x:c r="D40" s="18" t="str">
        <x:v>1. 服务授权绑定
2. 权限校验
3. 威胁用例与日志脱敏规则</x:v>
      </x:c>
      <x:c r="E40" s="18" t="str">
        <x:v>1. 同样source_id从另一workspace或撤权后的grant调用失败，不泄露对象存在性。
2. tenant/workspace/actor/credential_ref由可信上下文确定；模型同名参数和伪造_meta不能覆盖。
3. 服务授权限制audience、scope与有效期；worker仅可提交被授予job/attempt的对象。
4. Cookie/访问令牌不进入工具结果、转写、Skill、浏览器持久存储或日志。</x:v>
      </x:c>
      <x:c r="F40" s="18" t="str">
        <x:v>针对该任务的契约或集成验证
关联用例：AC17</x:v>
      </x:c>
      <x:c r="G40" s="18" t="str">
        <x:v>现有修改
backend/internal/flow/capability.go
backend/internal/flow/mcp.go
backend/internal/flow/mcp_secrets.go
backend/internal/app/cloud_agent_flow.go
services/loom-engine/flow/auth.ts
拟新增或生成
backend/internal/flow/video_mcp_policy.go
services/loom-engine/flow/video/service-auth.ts</x:v>
      </x:c>
      <x:c r="H40" s="18" t="str">
        <x:v>协作接口：COL-005；COL-012</x:v>
      </x:c>
      <x:c r="I40" s="18" t="str">
        <x:v>S01 S03 S09</x:v>
      </x:c>
    </x:row>
    <x:row r="41" ht="85.5999984741211" hidden="0" customHeight="1">
      <x:c r="A41" s="16" t="str">
        <x:v>IF-005</x:v>
      </x:c>
      <x:c r="B41" s="16" t="str">
        <x:v>验证现有Gateway与视频MCP传输兼容</x:v>
      </x:c>
      <x:c r="C41" s="16" t="str">
        <x:v>1. 用固定版本Streamable HTTP协议跑Gateway客户端与拟新增薄MCP服务握手、list/tools、调用、超时与断线兼容探针。</x:v>
      </x:c>
      <x:c r="D41" s="16" t="str">
        <x:v>1. 协议兼容记录
2. 固定依赖版本</x:v>
      </x:c>
      <x:c r="E41" s="16" t="str">
        <x:v>1. 在当前go-sdk客户端上完成initialize、tools/list、tools/call。
2. 默认10秒/上限30秒、rune输出cap在配置说明与fixture一致。
3. 兼容性锁定为实际可运行的协议与SDK版本；不把通用MCP Tasks或Skills扩展当宿主已支持。</x:v>
      </x:c>
      <x:c r="F41" s="16" t="str">
        <x:v>针对该任务的契约或集成验证
关联用例：AC05 AC18</x:v>
      </x:c>
      <x:c r="G41" s="16" t="str">
        <x:v>现有修改
backend/internal/flow/mcp.go
backend/internal/flow/mcp_routes.go
拟新增或生成
services/video-evidence-mcp/compatibility/</x:v>
      </x:c>
      <x:c r="H41" s="16" t="str"/>
      <x:c r="I41" s="16" t="str">
        <x:v>S03 S07 S17</x:v>
      </x:c>
    </x:row>
    <x:row r="42" ht="98.19999694824219" hidden="0" customHeight="1">
      <x:c r="A42" s="18" t="str">
        <x:v>IF-006</x:v>
      </x:c>
      <x:c r="B42" s="18" t="str">
        <x:v>实现薄MCP视频入口与宿主域服务适配</x:v>
      </x:c>
      <x:c r="C42" s="18" t="str">
        <x:v>1. 实现video_discover、六个规范视频MCP工具；请求转发到宿主COL域服务，薄服务不拥有作业数据库或独立调度器。
2. 统一工具名video_discover、video_process_start、video_job_status、video_result_read、video_job_cancel、video_job_reconcile；发现也受总截止时间约束，慢查询返回句柄。</x:v>
      </x:c>
      <x:c r="D42" s="18" t="str">
        <x:v>1. 薄MCP服务
2. host domain adapter
3. 接口探针</x:v>
      </x:c>
      <x:c r="E42" s="18" t="str">
        <x:v>1. 提交短返回operation_id/video_job_id；建议≤2秒，慢provider操作留在队列。
2. 所有入口得到同一host job状态；MCP重启不丢任务。
3. tool schema不接受tenant、Cookie、任意callback或内部路径；source/profile需通过授权。
4. cancel返回cancel_requested并能查询实际终态；工具不虚构host evidence。</x:v>
      </x:c>
      <x:c r="F42" s="18" t="str">
        <x:v>针对该任务的契约或集成验证
关联用例：AC05 AC18</x:v>
      </x:c>
      <x:c r="G42" s="18" t="str">
        <x:v>现有修改
backend/internal/flow/mcp.go
services/loom-engine/flow/engine.ts
拟新增或生成
services/video-evidence-mcp/
services/loom-engine/flow/video/mcp-adapter.ts</x:v>
      </x:c>
      <x:c r="H42" s="18" t="str">
        <x:v>协作接口：COL-008；COL-009；COL-012；COL-013</x:v>
      </x:c>
      <x:c r="I42" s="18" t="str">
        <x:v>S03 S07 S17</x:v>
      </x:c>
    </x:row>
    <x:row r="43" ht="98.19999694824219" hidden="0" customHeight="1">
      <x:c r="A43" s="16" t="str">
        <x:v>IF-007</x:v>
      </x:c>
      <x:c r="B43" s="16" t="str">
        <x:v>接通网关幂等键与结果不明对账</x:v>
      </x:c>
      <x:c r="C43" s="16" t="str">
        <x:v>1. 把网关保留的_meta.idempotency_key映射到宿主域服务request hash，配置reconcile工具，复用已有连接用量与cost规则。</x:v>
      </x:c>
      <x:c r="D43" s="16" t="str">
        <x:v>1. 幂等映射
2. reconcile策略
3. 不确定结果用例</x:v>
      </x:c>
      <x:c r="E43" s="16" t="str">
        <x:v>1. 同workspace、同key、同请求重放返回原job；同key异请求返回409/结构化冲突。
2. 网络在提交成功后断开时先reconcile，禁止自动重复提交。
3. 重试/取消/reconcile的费用与调用receipt可关联原attempt，不重复计账。
4. 用户新发起同资产处理仍有独立操作归属，资产缓存复用不跨权限。</x:v>
      </x:c>
      <x:c r="F43" s="16" t="str">
        <x:v>针对该任务的契约或集成验证
关联用例：AC04 AC05 AC06 AC07 AC18 AC21</x:v>
      </x:c>
      <x:c r="G43" s="16" t="str">
        <x:v>现有修改
backend/internal/flow/mcp_idem.go
backend/internal/flow/mcp.go
backend/internal/flow/mcp_routes.go
拟新增或生成
services/video-evidence-mcp/idempotency/</x:v>
      </x:c>
      <x:c r="H43" s="16" t="str">
        <x:v>协作接口：COL-013；COL-019</x:v>
      </x:c>
      <x:c r="I43" s="16" t="str">
        <x:v>S02 S03 S07 S16 S17</x:v>
      </x:c>
    </x:row>
    <x:row r="44" ht="98.19999694824219" hidden="0" customHeight="1">
      <x:c r="A44" s="18" t="str">
        <x:v>IF-008</x:v>
      </x:c>
      <x:c r="B44" s="18" t="str">
        <x:v>增加精确可信内部MCP网络策略</x:v>
      </x:c>
      <x:c r="C44" s="18" t="str">
        <x:v>1. 为受运维管理的视频服务增加精确endpoint/service identity allowlist；保留普通用户MCP的公网HTTPS与SSRF阻断，首选内部TLS/服务身份。</x:v>
      </x:c>
      <x:c r="D44" s="18" t="str">
        <x:v>1. 受信网络策略
2. 部署配置示例
3. SSRF回归用例</x:v>
      </x:c>
      <x:c r="E44" s="18" t="str">
        <x:v>1. 默认私网/loopback/metadata仍拒绝；未列入allowlist的内部域名拒绝。
2. DNS解析、重定向与最终连接地址按精确服务规则验证，不能利用allowlist访问任意内网。
3. 连接UI展示策略拒绝原因与管理员处理入口，不建议全局AllowInsecure。
4. 生产配置无明文秘密，service token轮换不破坏已有job。</x:v>
      </x:c>
      <x:c r="F44" s="18" t="str">
        <x:v>针对该任务的契约或集成验证
关联用例：AC05 AC18 AC19 AC20</x:v>
      </x:c>
      <x:c r="G44" s="18" t="str">
        <x:v>现有修改
backend/internal/flow/egress.go
backend/internal/flow/mcp.go
拟新增或生成
backend/internal/flow/mcp_internal_policy.go
docs/video-knowledge/internal-mcp-network.md</x:v>
      </x:c>
      <x:c r="H44" s="18" t="str">
        <x:v>协作接口：COL-025</x:v>
      </x:c>
      <x:c r="I44" s="18" t="str">
        <x:v>S03 S07 S09 S17</x:v>
      </x:c>
    </x:row>
    <x:row r="45" ht="98.19999694824219" hidden="0" customHeight="1">
      <x:c r="A45" s="16" t="str">
        <x:v>IF-009</x:v>
      </x:c>
      <x:c r="B45" s="16" t="str">
        <x:v>实现有界结果、分页与错误映射</x:v>
      </x:c>
      <x:c r="C45" s="16" t="str">
        <x:v>1. 为status/result_read提供摘要与稳定分页cursor，隐藏内部对象键和大字段，确保Gateway文本截断不会损坏机器可读对象。</x:v>
      </x:c>
      <x:c r="D45" s="16" t="str">
        <x:v>1. 分页协议
2. 安全结果投影
3. 错误映射</x:v>
      </x:c>
      <x:c r="E45" s="16" t="str">
        <x:v>1. 常规响应目标≤8000字符，包含总量/next_cursor/截断标志，不依赖网关rune截断维持JSON完整。
2. 全文/segments/frames通过受权artifact handle或宿主接口分页获取，不在模型上下文整批展开。
3. needs_auth、rate_limit、unsupported、partial、permission_revoked、integrity_failed有稳定错误码与可恢复建议。
4. TextContent不重复完整StructuredContent，防止网关拼接后翻倍触发输出cap。</x:v>
      </x:c>
      <x:c r="F45" s="16" t="str">
        <x:v>针对该任务的契约或集成验证
关联用例：AC04 AC05 AC06 AC07 AC18 AC21</x:v>
      </x:c>
      <x:c r="G45" s="16" t="str">
        <x:v>现有修改
backend/internal/flow/mcp.go
web/src/services/api/intelligence.ts
拟新增或生成
services/video-evidence-mcp/result-pages.ts
contracts/video-ingestion/v1/errors.schema.json</x:v>
      </x:c>
      <x:c r="H45" s="16" t="str">
        <x:v>协作接口：K-003</x:v>
      </x:c>
      <x:c r="I45" s="16" t="str">
        <x:v>S02 S03 S07 S16 S17</x:v>
      </x:c>
    </x:row>
    <x:row r="46" ht="123.4000015258789" hidden="0" customHeight="1">
      <x:c r="A46" s="18" t="str">
        <x:v>IF-010</x:v>
      </x:c>
      <x:c r="B46" s="18" t="str">
        <x:v>实现受信artifact提交路由与导入receipt</x:v>
      </x:c>
      <x:c r="C46" s="18" t="str">
        <x:v>1. 增加内部artifacts/commit传输入口，验证调用身份、job/attempt/fence、scope与hash后调用K域导入服务；入口不直接制造证据或把HTTP成功当ready。</x:v>
      </x:c>
      <x:c r="D46" s="18" t="str">
        <x:v>1. 受信入口
2. 导入receipt
3. 契约校验和重放测试</x:v>
      </x:c>
      <x:c r="E46" s="18" t="str">
        <x:v>1. 过期attempt、错误profile/input hash、跨scope对象、伪造manifest和不允许对象地址被拒绝。
2. 同commit幂等返回同import receipt，异常不会留下对外可见半成品。
3. 返回staged/validated/indexed/knowledge_ready/rejected独立状态；未满足K屏障时不能返回knowledge_ready。
4. 路由只适配K数据模型，不维护第二套文档/证据库。
5. input_ready按input_kind校验真实媒体或字幕对象且不会触发knowledge_ready；处理结果必须绑定已接受input manifest与当前阶段fence。</x:v>
      </x:c>
      <x:c r="F46" s="18" t="str">
        <x:v>针对该任务的契约或集成验证
关联用例：AC09 AC10 AC13 AC17</x:v>
      </x:c>
      <x:c r="G46" s="18" t="str">
        <x:v>现有修改
services/loom-engine/flow/server.ts
services/loom-engine/flow/auth.ts
services/loom-engine/flow/gaps9.ts
拟新增或生成
services/loom-engine/flow/video/import-routes.ts</x:v>
      </x:c>
      <x:c r="H46" s="18" t="str">
        <x:v>薄受信路由调用K领域服务；实现可基于IF-003冻结契约，避免与K-017互相等待。
协作接口：COL-012；COL-017；K-002；K-003</x:v>
      </x:c>
      <x:c r="I46" s="18" t="str">
        <x:v>S01 S02 S03 S07 S08 S09</x:v>
      </x:c>
    </x:row>
    <x:row r="47" ht="110.80000305175781" hidden="0" customHeight="1">
      <x:c r="A47" s="16" t="str">
        <x:v>IF-017</x:v>
      </x:c>
      <x:c r="B47" s="16" t="str">
        <x:v>嵌入视频来源配置与发现预览UI</x:v>
      </x:c>
      <x:c r="C47" s="16" t="str">
        <x:v>1. 在现有intelligence sources-panel增加视频来源类型、单链接/作者、profile、授予/凭据状态、增量策略、调度和预算配置，复用工作区布局。</x:v>
      </x:c>
      <x:c r="D47" s="16" t="str">
        <x:v>1. 来源配置UI
2. 发现预览
3. 表单与权限验证</x:v>
      </x:c>
      <x:c r="E47" s="16" t="str">
        <x:v>1. 可创建B站/抖音单视频和授权作者来源，预览前若干发现项并显示分页覆盖。
2. 平台凭据仅显示引用/状态与管理员管理入口；不以聊天消息收集Cookie。
3. 来源保存、试运行、启停调度各遵守宿主权限和预览/审批语义。
4. 不把发现总数等同已下载/已知识化数量，授权失效有明确状态。</x:v>
      </x:c>
      <x:c r="F47" s="16" t="str">
        <x:v>真实宿主浏览器操作与对应API核对
关联用例：AC01 AC02 AC03 AC21 AC29</x:v>
      </x:c>
      <x:c r="G47" s="16" t="str">
        <x:v>现有修改
web/src/pages/intelligence/sources-panel.tsx
web/src/pages/intelligence/monitor-editor.tsx
web/src/services/api/intelligence.ts
拟新增或生成
web/src/pages/intelligence/video-source-editor.tsx
web/src/pages/intelligence/video-source-preview.tsx</x:v>
      </x:c>
      <x:c r="H47" s="16" t="str">
        <x:v>协作接口：COL-004；COL-005；COL-008；COL-009；COL-011；K-001</x:v>
      </x:c>
      <x:c r="I47" s="16" t="str">
        <x:v>S01 S02 S06 S07 S08 S10 S15</x:v>
      </x:c>
    </x:row>
    <x:row r="48" ht="110.80000305175781" hidden="0" customHeight="1">
      <x:c r="A48" s="18" t="str">
        <x:v>COL-025</x:v>
      </x:c>
      <x:c r="B48" s="18" t="str">
        <x:v>Compose和运行角色集成</x:v>
      </x:c>
      <x:c r="C48" s="18" t="str">
        <x:v>1. 按当前仓库部署结构选择新增compose overlay/profile；DTK锁定镜像digest，不默认latest。
2. 独立DTK必要数据库/Redis与宿主数据隔离，或明确受支持复用方式；不把DTK未经验证当宿主数据库schema。
3. 视频worker角色可独立部署，默认开关关闭； readiness检查配置、对象存储、provider契约，不真实下载视频。
4. 最小密钥与网络、存储卷、资源上限和健康检查；模型/下载/浏览器可选组件按启用能力配置。</x:v>
      </x:c>
      <x:c r="D48" s="18" t="str">
        <x:v>1. 已实现的模块与契约
2. 对应验证记录</x:v>
      </x:c>
      <x:c r="E48" s="18" t="str">
        <x:v>1. 启动不需要重新注册一套业务账号或新建商业平台。
2. 宿主既有rss/telegram/wechat功能在视频开关关闭时不受影响。
3. provider不可用时宿主仍可启动，相关视频任务明确blocked且能恢复。</x:v>
      </x:c>
      <x:c r="F48" s="18" t="str">
        <x:v>针对该任务的契约或集成验证
关联用例：AC24</x:v>
      </x:c>
      <x:c r="G48" s="18" t="str">
        <x:v>现有修改
services/loom-engine/flow/main.ts
services/loom-engine/docker-compose.yml
services/loom-engine/env.example
拟新增或生成
deploy/video-ingestion.compose.yml
docs/video-ingestion/DEPLOY.md</x:v>
      </x:c>
      <x:c r="H48" s="18" t="str"/>
      <x:c r="I48" s="18" t="str">
        <x:v>S01 S13 S15</x:v>
      </x:c>
    </x:row>
    <x:row r="49" ht="85.5999984741211" hidden="0" customHeight="1">
      <x:c r="A49" s="16" t="str">
        <x:v>COL-029</x:v>
      </x:c>
      <x:c r="B49" s="16" t="str">
        <x:v>留存、清理与备份恢复</x:v>
      </x:c>
      <x:c r="C49" s="16" t="str">
        <x:v>1. 原视频、抽取音轨、帧、转写、证据分别设留存；证据所依赖资产有引用计数/保留标志。
2. 清理临时/孤儿对象前核对租约与job映射，延迟隔离区而非立即误删。
3. 备份包含host任务/checkpoint/manifest、对象列表hash与provider连接版本；secret按既有安全流程备份。
4. 来源撤销与删除有明确传播范围，不删除其他workspace合法引用。</x:v>
      </x:c>
      <x:c r="D49" s="16" t="str">
        <x:v>1. 已实现的模块与契约
2. 对应验证记录</x:v>
      </x:c>
      <x:c r="E49" s="16" t="str">
        <x:v>1. 恢复后pending job能继续核对外部任务，已ready文档仍可溯源。
2. 清理不删除运行中或被证据固定的资产。
3. 对象缺失被标记并能受控重建，不返回虚假下载链接。</x:v>
      </x:c>
      <x:c r="F49" s="16" t="str">
        <x:v>针对该任务的契约或集成验证
关联用例：AC07 AC16 AC23 AC24 AC28</x:v>
      </x:c>
      <x:c r="G49" s="16" t="str">
        <x:v>现有修改
services/loom-engine/flow/gaps9.ts
拟新增或生成
services/loom-engine/flow/video/retention.ts
docs/video-ingestion/BACKUP-RESTORE.md</x:v>
      </x:c>
      <x:c r="H49" s="16" t="str">
        <x:v>最小留存、撤权与恢复属于P0；完整首版再回归视觉和Skill依赖。</x:v>
      </x:c>
      <x:c r="I49" s="16" t="str">
        <x:v>S01 S02 S10</x:v>
      </x:c>
    </x:row>
    <x:row r="50" ht="98.19999694824219" hidden="0" customHeight="1">
      <x:c r="A50" s="18" t="str">
        <x:v>COL-021</x:v>
      </x:c>
      <x:c r="B50" s="18" t="str">
        <x:v>可靠交接字幕或媒体输入产物</x:v>
      </x:c>
      <x:c r="C50" s="18" t="str">
        <x:v>1. 发送artifact_stage=input_ready和input_kind=platform_subtitles或media。仅字幕时media_sha256=null，input_hash取自真实输入；请求绑定job及当前阶段attempt/fence。
2. 受信导入建立staged输入并启动K处理；processing_complete另用新阶段fence及parent_manifest_sha256提交。</x:v>
      </x:c>
      <x:c r="D50" s="18" t="str">
        <x:v>1. 已实现的模块与契约
2. 对应验证记录</x:v>
      </x:c>
      <x:c r="E50" s="18" t="str">
        <x:v>1. 下载worker不需要提前生成转写/视觉manifest。
2. 输入交付幂等，跨scope对象及哈希错配拒绝。
3. input_ready绝不触发知识ready；取消后迟到输入不进入有效处理。</x:v>
      </x:c>
      <x:c r="F50" s="18" t="str">
        <x:v>针对该任务的契约或集成验证
关联用例：AC01 AC02 AC09 AC10 AC13</x:v>
      </x:c>
      <x:c r="G50" s="18" t="str">
        <x:v>现有修改
services/loom-engine/flow/gaps9.ts
services/loom-engine/flow/engine.ts
拟新增或生成
services/loom-engine/flow/video/manifest.ts
services/loom-engine/flow/video/handoff.ts</x:v>
      </x:c>
      <x:c r="H50" s="18" t="str">
        <x:v>协作接口：K:可信import与文档/证据持久化入口</x:v>
      </x:c>
      <x:c r="I50" s="18" t="str">
        <x:v>S02 S07 S08 S15 S16</x:v>
      </x:c>
    </x:row>
    <x:row r="51" ht="85.5999984741211" hidden="0" customHeight="1">
      <x:c r="A51" s="16" t="str">
        <x:v>COL-022</x:v>
      </x:c>
      <x:c r="B51" s="16" t="str">
        <x:v>接收宿主ready回执并映射视频任务完成状态</x:v>
      </x:c>
      <x:c r="C51" s="16" t="str">
        <x:v>1. 由K-017唯一屏障产生ready；本任务把回执映射到video job完成级别，拒绝以下载完成或worker成功提前标记completed。
2. required缺口保持失败/待处理；仅optional缺口可completed_with_gaps；curate另建下游Flow run，不重下原视频。</x:v>
      </x:c>
      <x:c r="D51" s="16" t="str">
        <x:v>1. ready receipt消费与任务状态映射
2. 完成级别契约</x:v>
      </x:c>
      <x:c r="E51" s="16" t="str">
        <x:v>1. media或字幕输入就绪不等于knowledge_ready。
2. 同一receipt重放不重复完成或计费；撤销后重放不能复活任务。
3. COL-023只能消费宿主正式ready；只有K-017维护屏障与outbox。</x:v>
      </x:c>
      <x:c r="F51" s="16" t="str">
        <x:v>针对该任务的契约或集成验证
关联用例：AC09 AC10 AC13</x:v>
      </x:c>
      <x:c r="G51" s="16" t="str">
        <x:v>现有修改
services/loom-engine/flow/engine.ts
backend/internal/flow/canvas_auto_run.go
拟新增或生成
services/loom-engine/flow/video/job-receipts.ts</x:v>
      </x:c>
      <x:c r="H51" s="16" t="str">
        <x:v>协作接口：K:processing_complete/index_ready契约与质量条件</x:v>
      </x:c>
      <x:c r="I51" s="16" t="str">
        <x:v>S02 S07 S08</x:v>
      </x:c>
    </x:row>
    <x:row r="52" ht="110.80000305175781" hidden="0" customHeight="1">
      <x:c r="A52" s="18" t="str">
        <x:v>COL-023</x:v>
      </x:c>
      <x:c r="B52" s="18" t="str">
        <x:v>在ready后驱动现有Monitor/Canvas</x:v>
      </x:c>
      <x:c r="C52" s="18" t="str">
        <x:v>1. 将发现周期与知识处理周期分开记录，避免collection.completed提前运行Canvas。
2. 内容ready后基于最新revision重新评价关键词命中并记录真实monitor hit。
3. 使用现有授权grant、canvas配置hash和预算；周期内多视频按明确完成/partial策略生成一次工作流批次。
4. trigger幂等键包含tenant/monitor/window及处理版本；依赖更新或权限撤销重新检查。</x:v>
      </x:c>
      <x:c r="D52" s="18" t="str">
        <x:v>1. 已实现的模块与契约
2. 对应验证记录</x:v>
      </x:c>
      <x:c r="E52" s="18" t="str">
        <x:v>1. 关键词只出现在视频ASR时也可命中；仅简介命中但正文未准备好时不提早提炼。
2. 相同ready事件重投和多个视频并发完成不重复运行同一批次Canvas。
3. 取消、失败或未授权内容不会偷偷进入自动Skill提炼。</x:v>
      </x:c>
      <x:c r="F52" s="18" t="str">
        <x:v>针对该任务的契约或集成验证
关联用例：AC03 AC09 AC10 AC13 AC20 AC25 AC29</x:v>
      </x:c>
      <x:c r="G52" s="18" t="str">
        <x:v>现有修改
services/loom-engine/flow/engine.ts
backend/internal/flow/canvas_auto_run.go
backend/internal/flow/monitors_canvas_routes.go
backend/internal/flow/canvas_workflow_sources.go
拟新增或生成
services/loom-engine/flow/video/monitor-integration.ts</x:v>
      </x:c>
      <x:c r="H52" s="18" t="str">
        <x:v>协作接口：IF:视频工作流节点与Skill候选动作；K:证据引用输出</x:v>
      </x:c>
      <x:c r="I52" s="18" t="str">
        <x:v>S02 S06 S07 S08 S11 S12</x:v>
      </x:c>
    </x:row>
    <x:row r="53" ht="136" hidden="0" customHeight="1">
      <x:c r="A53" s="16" t="str">
        <x:v>COL-024</x:v>
      </x:c>
      <x:c r="B53" s="16" t="str">
        <x:v>接入宿主任务可观测性与人工操作</x:v>
      </x:c>
      <x:c r="C53" s="16" t="str">
        <x:v>1. 已有任务页显示发现coverage、下载/处理阶段、attempt、next_retry、blocked_reason、外部状态摘要和完成层级。
2. 结构化记录tenant/workspace/source/operation/job/attempt/trace关联，secret脱敏。
3. 提供安全重试失败阶段、暂停来源、恢复授权、查reconcile结果的领域服务；路由/界面由IF组复用宿主。
4. 指标包含发现新内容数、阶段积压/耗时、429、needs_auth、重复抑制、partial与ready延迟，不以抓取数量代替知识质量。</x:v>
      </x:c>
      <x:c r="D53" s="16" t="str">
        <x:v>1. 已实现的模块与契约
2. 对应验证记录</x:v>
      </x:c>
      <x:c r="E53" s="16" t="str">
        <x:v>1. 一次任务能从来源→host job→provider映射→文档revision追踪。
2. 失败原因与重试条件可见；日志无Cookie/APIKey。
3. 在未实际运行时仪表盘不显示伪造成功率或吞吐。</x:v>
      </x:c>
      <x:c r="F53" s="16" t="str">
        <x:v>针对该任务的契约或集成验证
关联用例：AC03 AC22 AC29</x:v>
      </x:c>
      <x:c r="G53" s="16" t="str">
        <x:v>现有修改
backend/internal/flow/metrics.go
services/loom-engine/flow/engine.ts
backend/internal/flow/routes.go
拟新增或生成
services/loom-engine/flow/video/observability.ts</x:v>
      </x:c>
      <x:c r="H53" s="16" t="str">
        <x:v>协作接口：IF:现有任务页/来源页展示</x:v>
      </x:c>
      <x:c r="I53" s="16" t="str">
        <x:v>S01 S02 S03 S07 S08</x:v>
      </x:c>
    </x:row>
    <x:row r="54" ht="76" hidden="0" customHeight="1">
      <x:c r="A54" s="18" t="str">
        <x:v>K-004</x:v>
      </x:c>
      <x:c r="B54" s="18" t="str">
        <x:v>实现字幕来源选择与标准化</x:v>
      </x:c>
      <x:c r="C54" s="18" t="str">
        <x:v>1. 对接采集组提供的平台字幕，将人工/自动字幕转换为完整有序segment；保留原始字幕与规范化版本。</x:v>
      </x:c>
      <x:c r="D54" s="18" t="str">
        <x:v>1. 字幕选择策略
2. segment标准化器
3. 语言与来源元数据</x:v>
      </x:c>
      <x:c r="E54" s="18" t="str">
        <x:v>1. 人工有效字幕优先；自动字幕与ASR来源不会混淆
2. 非法/越界时间、空字幕、语言不适用有明确结果，不用简介补正文
3. 原始字幕和canonical文本可追溯且规范化具版本</x:v>
      </x:c>
      <x:c r="F54" s="18" t="str">
        <x:v>针对该任务的契约或集成验证
关联用例：AC01 AC08</x:v>
      </x:c>
      <x:c r="G54" s="18" t="str">
        <x:v>现有修改
services/loom-engine/flow/enrichment.ts
拟新增或生成
services/loom-engine/flow/video/transcript-normalizer.ts</x:v>
      </x:c>
      <x:c r="H54" s="18" t="str">
        <x:v>协作接口：采集组平台字幕输出</x:v>
      </x:c>
      <x:c r="I54" s="18" t="str">
        <x:v>S04 S05</x:v>
      </x:c>
    </x:row>
    <x:row r="55" ht="98.19999694824219" hidden="0" customHeight="1">
      <x:c r="A55" s="16" t="str">
        <x:v>K-005</x:v>
      </x:c>
      <x:c r="B55" s="16" t="str">
        <x:v>无字幕场景复用宿主ASR并区分失败类型</x:v>
      </x:c>
      <x:c r="C55" s="16" t="str">
        <x:v>1. 以已入授权对象存储的媒体调用现有ASR；将no_subtitles、auth_required、unsupported、no_speech、provider_error区分。</x:v>
      </x:c>
      <x:c r="D55" s="16" t="str">
        <x:v>1. ASR选择适配器
2. 失败分类
3. no_speech结果</x:v>
      </x:c>
      <x:c r="E55" s="16" t="str">
        <x:v>1. 有合格字幕不重复ASR；缺字幕按profile使用宿主ASR
2. 鉴权失败不伪装为无字幕；空语音得到可解释状态
3. 所有处理结果绑定媒体hash与实际engine/model</x:v>
      </x:c>
      <x:c r="F55" s="16" t="str">
        <x:v>针对该任务的契约或集成验证
关联用例：AC01 AC08</x:v>
      </x:c>
      <x:c r="G55" s="16" t="str">
        <x:v>现有修改
services/loom-engine/workers/asr/server.py
services/loom-engine/flow/enrichment.ts
services/loom-engine/flow/engine.ts
拟新增或生成
services/loom-engine/flow/video/transcription.ts</x:v>
      </x:c>
      <x:c r="H55" s="16" t="str">
        <x:v>协作接口：采集组媒体对象/授权receipt</x:v>
      </x:c>
      <x:c r="I55" s="16" t="str">
        <x:v>S04 S05</x:v>
      </x:c>
    </x:row>
    <x:row r="56" ht="85.5999984741211" hidden="0" customHeight="1">
      <x:c r="A56" s="18" t="str">
        <x:v>K-006</x:v>
      </x:c>
      <x:c r="B56" s="18" t="str">
        <x:v>保留完整ASR segments并移除静默截断</x:v>
      </x:c>
      <x:c r="C56" s="18" t="str">
        <x:v>1. 扩展worker和AsrResult；完整文本/segments写分段对象并返回manifest，旧客户端兼容路径不得将切片冒充完整结果。</x:v>
      </x:c>
      <x:c r="D56" s="18" t="str">
        <x:v>1. 完整ASR对象输出
2. 客户端segment处理
3. 截断/分页协议</x:v>
      </x:c>
      <x:c r="E56" s="18" t="str">
        <x:v>1. 2100 segments和400001字符样例不丢尾部，或按明确支持范围拒绝
2. 客户端不再丢弃segments；count/hash/正文一致
3. 旧inline输出超过上限返回明确截断/对象引用状态，不能仅200成功</x:v>
      </x:c>
      <x:c r="F56" s="18" t="str">
        <x:v>针对该任务的契约或集成验证
关联用例：AC01 AC08 AC09</x:v>
      </x:c>
      <x:c r="G56" s="18" t="str">
        <x:v>现有修改
services/loom-engine/workers/asr/server.py
services/loom-engine/flow/enrichment.ts
拟新增或生成
services/loom-engine/flow/video/transcript-artifacts.ts</x:v>
      </x:c>
      <x:c r="H56" s="18" t="str"/>
      <x:c r="I56" s="18" t="str">
        <x:v>S04 S05</x:v>
      </x:c>
    </x:row>
    <x:row r="57" ht="98.19999694824219" hidden="0" customHeight="1">
      <x:c r="A57" s="16" t="str">
        <x:v>K-007</x:v>
      </x:c>
      <x:c r="B57" s="16" t="str">
        <x:v>长视频分段拼接与可恢复产物处理</x:v>
      </x:c>
      <x:c r="C57" s="16" t="str">
        <x:v>1. 在已有任务体系中保存分段checkpoint、绝对offset、重叠合并和完整性清单；不重复实现采集队列或下载心跳。</x:v>
      </x:c>
      <x:c r="D57" s="16" t="str">
        <x:v>1. 分段计划
2. 产物checkpoint
3. 覆盖区间计算
4. 重叠消歧</x:v>
      </x:c>
      <x:c r="E57" s="16" t="str">
        <x:v>1. 中途失败重启后仅处理失效段且不会重复计入已确认产物
2. 全局时间连续映射，首尾内容无静默遗漏
3. 静音区间单独标记；processed coverage不等于speech coverage
4. 超范围或预算耗尽返回partial/limit_exceeded，ready门禁阻断</x:v>
      </x:c>
      <x:c r="F57" s="16" t="str">
        <x:v>针对该任务的契约或集成验证
关联用例：AC04 AC06 AC07 AC09 AC21</x:v>
      </x:c>
      <x:c r="G57" s="16" t="str">
        <x:v>现有修改
services/loom-engine/workers/asr/server.py
services/loom-engine/flow/engine.ts
拟新增或生成
services/loom-engine/flow/video/segment-plan.ts
services/loom-engine/flow/video/processing-checkpoints.ts</x:v>
      </x:c>
      <x:c r="H57" s="16" t="str">
        <x:v>协作接口：宿主任务/产物状态与取消接口</x:v>
      </x:c>
      <x:c r="I57" s="16" t="str">
        <x:v>S02 S05 S16</x:v>
      </x:c>
    </x:row>
    <x:row r="58" ht="85.5999984741211" hidden="0" customHeight="1">
      <x:c r="A58" s="18" t="str">
        <x:v>K-008</x:v>
      </x:c>
      <x:c r="B58" s="18" t="str">
        <x:v>实现UTF-16原文区间到视频时间轴的映射</x:v>
      </x:c>
      <x:c r="C58" s="18" t="str">
        <x:v>1. 固定canonicalization规则，生成与宿主evidence一致的UTF-16 span，建立segment/time/media hash定位。</x:v>
      </x:c>
      <x:c r="D58" s="18" t="str">
        <x:v>1. canonical text构建器
2. span映射
3. EvidenceMediaLocator</x:v>
      </x:c>
      <x:c r="E58" s="18" t="str">
        <x:v>1. 中文、emoji、组合字符样例通过host精确quote验证
2. 拒绝拆surrogate的offset；Go字节/Python码点偏移不能直接写库
3. 每个时间证据可定位到固定media_sha256与起止ms；无时间原稿显示定位缺失</x:v>
      </x:c>
      <x:c r="F58" s="18" t="str">
        <x:v>针对该任务的契约或集成验证
关联用例：AC01 AC02 AC08 AC10 AC12</x:v>
      </x:c>
      <x:c r="G58" s="18" t="str">
        <x:v>现有修改
services/loom-engine/flow/engine.ts
backend/internal/flow/citations.go
拟新增或生成
services/loom-engine/flow/video/evidence-locators.ts</x:v>
      </x:c>
      <x:c r="H58" s="18" t="str"/>
      <x:c r="I58" s="18" t="str">
        <x:v>S02 S05</x:v>
      </x:c>
    </x:row>
    <x:row r="59" ht="76" hidden="0" customHeight="1">
      <x:c r="A59" s="16" t="str">
        <x:v>K-009</x:v>
      </x:c>
      <x:c r="B59" s="16" t="str">
        <x:v>转录校对生成新版本并维护证据关系</x:v>
      </x:c>
      <x:c r="C59" s="16" t="str">
        <x:v>1. 支持人工纠正术语/时间轴，保留原始转录，生成新artifact/revision及必要的旧新映射。</x:v>
      </x:c>
      <x:c r="D59" s="16" t="str">
        <x:v>1. 修订命令服务
2. 新旧版本diff
3. 校对记录</x:v>
      </x:c>
      <x:c r="E59" s="16" t="str">
        <x:v>1. 纠正不原地修改被引用版本，旧evidence仍匹配旧quote
2. 新版本触发依赖候选再核验；旧批准不会自动迁移
3. 并发修订按版本前置条件冲突，不丢修改</x:v>
      </x:c>
      <x:c r="F59" s="16" t="str">
        <x:v>针对该任务的契约或集成验证
关联用例：AC01 AC02 AC08 AC10 AC11 AC12</x:v>
      </x:c>
      <x:c r="G59" s="16" t="str">
        <x:v>现有修改
services/loom-engine/flow/engine.ts
拟新增或生成
services/loom-engine/flow/video/transcript-corrections.ts</x:v>
      </x:c>
      <x:c r="H59" s="16" t="str">
        <x:v>协作接口：接口组校对/复核UI</x:v>
      </x:c>
      <x:c r="I59" s="16" t="str">
        <x:v>S02 S04 S05</x:v>
      </x:c>
    </x:row>
    <x:row r="60" ht="76" hidden="0" customHeight="1">
      <x:c r="A60" s="18" t="str">
        <x:v>K-016</x:v>
      </x:c>
      <x:c r="B60" s="18" t="str">
        <x:v>修正定时刷新对derived正文的覆盖语义</x:v>
      </x:c>
      <x:c r="C60" s="18" t="str">
        <x:v>1. 把视频采集源更新与已提取证据快照分离；共享持久化逻辑按原始hash、媒体hash和派生版本决策。</x:v>
      </x:c>
      <x:c r="D60" s="18" t="str">
        <x:v>1. source更新合并器
2. 版本前置条件
3. 回归样例</x:v>
      </x:c>
      <x:c r="E60" s="18" t="str">
        <x:v>1. 已ASR视频再次返回同一简介，不导致current正文退回简介
2. 媒体真正变化创建新处理输入，旧证据仍读得到
3. 只metadata变化按策略更新元信息，不能无差别再转写/覆盖</x:v>
      </x:c>
      <x:c r="F60" s="18" t="str">
        <x:v>针对该任务的契约或集成验证
关联用例：AC11</x:v>
      </x:c>
      <x:c r="G60" s="18" t="str">
        <x:v>现有修改
services/loom-engine/flow/engine.ts
拟新增或生成
services/loom-engine/flow/video/source-version-merge.ts</x:v>
      </x:c>
      <x:c r="H60" s="18" t="str">
        <x:v>协作接口：采集组ConnectorItem/来源游标契约</x:v>
      </x:c>
      <x:c r="I60" s="18" t="str">
        <x:v>S02</x:v>
      </x:c>
    </x:row>
    <x:row r="61" ht="85.5999984741211" hidden="0" customHeight="1">
      <x:c r="A61" s="16" t="str">
        <x:v>K-017</x:v>
      </x:c>
      <x:c r="B61" s="16" t="str">
        <x:v>实现宿主knowledge_ready原子屏障</x:v>
      </x:c>
      <x:c r="C61" s="16" t="str">
        <x:v>1. 受信import后按profile验证required分支、对象、span与索引，在事务内切换可见revision并写唯一outbox事件。</x:v>
      </x:c>
      <x:c r="D61" s="16" t="str">
        <x:v>1. ready coordinator
2. 状态receipt
3. 幂等outbox事件</x:v>
      </x:c>
      <x:c r="E61" s="16" t="str">
        <x:v>1. worker成功但索引失败时不ready、不被普通查询见到
2. 同一artifact多次回调只生效一次，索引重试不重跑已完整转录
3. 新版本partial时上一已就绪版本继续可用并明确显示待更新
4. embedding required/optional两种模式的失败行为符合profile</x:v>
      </x:c>
      <x:c r="F61" s="16" t="str">
        <x:v>针对该任务的契约或集成验证
关联用例：AC09 AC10 AC13</x:v>
      </x:c>
      <x:c r="G61" s="16" t="str">
        <x:v>现有修改
services/loom-engine/flow/engine.ts
services/loom-engine/flow/gaps9.ts
拟新增或生成
services/loom-engine/flow/video/readiness.ts</x:v>
      </x:c>
      <x:c r="H61" s="16" t="str">
        <x:v>协作接口：接口组受信import/任务receipt接口</x:v>
      </x:c>
      <x:c r="I61" s="16" t="str">
        <x:v>S02 S07 S08</x:v>
      </x:c>
    </x:row>
    <x:row r="62" ht="85.5999984741211" hidden="0" customHeight="1">
      <x:c r="A62" s="18" t="str">
        <x:v>K-018</x:v>
      </x:c>
      <x:c r="B62" s="18" t="str">
        <x:v>复用宿主切块和检索并返回视频证据定位</x:v>
      </x:c>
      <x:c r="C62" s="18" t="str">
        <x:v>1. 按段落/转录边界构建现有chunks，检索/读取附带video locator、material type和ready状态，不另建RAG真源。</x:v>
      </x:c>
      <x:c r="D62" s="18" t="str">
        <x:v>1. chunk适配
2. 检索扩展字段
3. 租户过滤</x:v>
      </x:c>
      <x:c r="E62" s="18" t="str">
        <x:v>1. intel_search_documents/read_document可找到已ready视频正文并读取正确revision
2. 未ready、withdrawn和外tenant内容默认不召回
3. 长视频尾部片段能检索；FTS可用且向量配置降级标识真实</x:v>
      </x:c>
      <x:c r="F62" s="18" t="str">
        <x:v>针对该任务的契约或集成验证
关联用例：AC01 AC02 AC08 AC10 AC12 AC16 AC25</x:v>
      </x:c>
      <x:c r="G62" s="18" t="str">
        <x:v>现有修改
services/loom-engine/flow/engine.ts
backend/internal/flow/tools.go
拟新增或生成
services/loom-engine/flow/video/chunking.ts</x:v>
      </x:c>
      <x:c r="H62" s="18" t="str">
        <x:v>先实现分块与索引，供K-017屏障检验；ready后查询的联合验证在K-030/IF-028完成。
协作接口：接口组工具schema向后兼容</x:v>
      </x:c>
      <x:c r="I62" s="18" t="str">
        <x:v>S01 S02 S05 S07</x:v>
      </x:c>
    </x:row>
    <x:row r="63" ht="76" hidden="0" customHeight="1">
      <x:c r="A63" s="16" t="str">
        <x:v>K-019</x:v>
      </x:c>
      <x:c r="B63" s="16" t="str">
        <x:v>产物幂等与精确去重缓存</x:v>
      </x:c>
      <x:c r="C63" s="16" t="str">
        <x:v>1. 以scope、media/source hash、processor/profile/model版本生成派生产物缓存键，重复提交复用可信receipt。</x:v>
      </x:c>
      <x:c r="D63" s="16" t="str">
        <x:v>1. cache key定义
2. 去重查询
3. 费用/产物复用记录</x:v>
      </x:c>
      <x:c r="E63" s="16" t="str">
        <x:v>1. 同视频相同配置重复提交不重复转写/索引/发布
2. 模型或字幕更改使正确分支失效并产生新版本
3. 跨租户不泄漏是否存在素材、原文、分析或权限状态</x:v>
      </x:c>
      <x:c r="F63" s="16" t="str">
        <x:v>针对该任务的契约或集成验证
关联用例：AC05 AC06 AC11</x:v>
      </x:c>
      <x:c r="G63" s="16" t="str">
        <x:v>现有修改
services/loom-engine/flow/gaps9.ts
拟新增或生成
services/loom-engine/flow/video/artifact-cache.ts</x:v>
      </x:c>
      <x:c r="H63" s="16" t="str">
        <x:v>协作接口：采集组外部ID去重/任务幂等</x:v>
      </x:c>
      <x:c r="I63" s="16" t="str">
        <x:v>S02 S03</x:v>
      </x:c>
    </x:row>
    <x:row r="64" ht="98.19999694824219" hidden="0" customHeight="1">
      <x:c r="A64" s="18" t="str">
        <x:v>K-021</x:v>
      </x:c>
      <x:c r="B64" s="18" t="str">
        <x:v>定义行业知识单元与候选版本schema</x:v>
      </x:c>
      <x:c r="C64" s="18" t="str">
        <x:v>1. 定义fact/definition/procedure/example/pitfall等类型、适用条件、证据、statement/inference、有效期与审阅状态。</x:v>
      </x:c>
      <x:c r="D64" s="18" t="str">
        <x:v>1. 知识单元schema
2. 候选版本表/索引
3. 领域profile扩展点</x:v>
      </x:c>
      <x:c r="E64" s="18" t="str">
        <x:v>1. 每条非推断知识至少有固定revision证据；必需字段可验证
2. 不把当前仓库未实现的数学题型/教学模型描述为现成模块
3. 候选可包含不确定/冲突标识，不强行输出确定结论
4. 生成摘要/知识不能作为自身来源证据；转录、OCR、视觉观察和推断类别显式区分。</x:v>
      </x:c>
      <x:c r="F64" s="18" t="str">
        <x:v>针对该任务的契约或集成验证
关联用例：AC14</x:v>
      </x:c>
      <x:c r="G64" s="18" t="str">
        <x:v>现有修改
services/loom-engine/flow/reports.ts
backend/internal/flow/citations.go
拟新增或生成
services/loom-engine/flow/knowledge/unit-schema.ts
services/loom-engine/flow/knowledge/models.ts</x:v>
      </x:c>
      <x:c r="H64" s="18" t="str"/>
      <x:c r="I64" s="18" t="str">
        <x:v>S01 S06 S07</x:v>
      </x:c>
    </x:row>
    <x:row r="65" ht="98.19999694824219" hidden="0" customHeight="1">
      <x:c r="A65" s="16" t="str">
        <x:v>K-022</x:v>
      </x:c>
      <x:c r="B65" s="16" t="str">
        <x:v>经宿主网关提炼带证据的知识候选</x:v>
      </x:c>
      <x:c r="C65" s="16" t="str">
        <x:v>1. 对ready证据调用宿主Model Gateway按schema提炼，引用validator与有限repair，失败保留可解释结果。</x:v>
      </x:c>
      <x:c r="D65" s="16" t="str">
        <x:v>1. 提炼prompt/schema
2. 候选生成器
3. 引用与输出校验</x:v>
      </x:c>
      <x:c r="E65" s="16" t="str">
        <x:v>1. 无证据事实、未知evidence_id、错revision、错quote拒绝或标needs_review
2. 模型推断保持model_inference；confidence不当正确率
3. 相同输入与提炼版本复用已确认结果；处理失败不自动发布</x:v>
      </x:c>
      <x:c r="F65" s="16" t="str">
        <x:v>针对该任务的契约或集成验证
关联用例：AC14</x:v>
      </x:c>
      <x:c r="G65" s="16" t="str">
        <x:v>现有修改
backend/internal/flow/model_gateway.go
backend/internal/flow/citations.go
services/loom-engine/flow/reports.ts
拟新增或生成
services/loom-engine/flow/knowledge/extractor.ts</x:v>
      </x:c>
      <x:c r="H65" s="16" t="str"/>
      <x:c r="I65" s="16" t="str">
        <x:v>S06 S07</x:v>
      </x:c>
    </x:row>
    <x:row r="66" ht="85.5999984741211" hidden="0" customHeight="1">
      <x:c r="A66" s="18" t="str">
        <x:v>K-023</x:v>
      </x:c>
      <x:c r="B66" s="18" t="str">
        <x:v>实现候选复核后端状态与并发控制</x:v>
      </x:c>
      <x:c r="C66" s="18" t="str">
        <x:v>1. 提供approve/reject/request_changes/correct命令、reviewer与版本前置条件；UI由接口组实现。</x:v>
      </x:c>
      <x:c r="D66" s="18" t="str">
        <x:v>1. 复核领域服务
2. 审阅记录
3. 并发冲突处理</x:v>
      </x:c>
      <x:c r="E66" s="18" t="str">
        <x:v>1. 仅有权限reviewer可批准指定候选版本
2. 编辑后旧批准作废；并发不同审批不会静默覆盖
3. 模型调用不能自授批准或把待审结果写为published
4. approved和published分开；修改后旧批准失效，旧版本审核或发布请求返回冲突。</x:v>
      </x:c>
      <x:c r="F66" s="18" t="str">
        <x:v>针对该任务的契约或集成验证
关联用例：AC01 AC14 AC16</x:v>
      </x:c>
      <x:c r="G66" s="18" t="str">
        <x:v>现有修改
backend/internal/flow/reviewer.go
services/loom-engine/flow/reports.ts
拟新增或生成
services/loom-engine/flow/knowledge/reviews.ts</x:v>
      </x:c>
      <x:c r="H66" s="18" t="str">
        <x:v>协作接口：接口组候选复核UI/API</x:v>
      </x:c>
      <x:c r="I66" s="18" t="str">
        <x:v>S01 S06</x:v>
      </x:c>
    </x:row>
    <x:row r="67" ht="98.19999694824219" hidden="0" customHeight="1">
      <x:c r="A67" s="16" t="str">
        <x:v>K-024</x:v>
      </x:c>
      <x:c r="B67" s="16" t="str">
        <x:v>发布知识快照并供宿主Agent安全查询</x:v>
      </x:c>
      <x:c r="C67" s="16" t="str">
        <x:v>1. 生成不可变release，将已批准知识版本与证据快照原子发布；普通知识查询默认只用有效published版本。</x:v>
      </x:c>
      <x:c r="D67" s="16" t="str">
        <x:v>1. 发布服务
2. snapshot清单
3. 已发布知识查询过滤</x:v>
      </x:c>
      <x:c r="E67" s="16" t="str">
        <x:v>1. 批准但未发布的内容不会被普通Agent知识工具当正式知识返回
2. 发布后每条回答引用可回到原素材及固定revision
3. 撤回/过期/失效知识被阻断并说明状态，旧run快照仍接受当前撤权检查
4. 普通行业工具仅检索有效published；研究/提炼工具可按权限读取ready材料，不能无声回退未审核知识。</x:v>
      </x:c>
      <x:c r="F67" s="16" t="str">
        <x:v>针对该任务的契约或集成验证
关联用例：AC01 AC14 AC16 AC25</x:v>
      </x:c>
      <x:c r="G67" s="16" t="str">
        <x:v>现有修改
services/loom-engine/flow/reports.ts
backend/internal/flow/tools.go
拟新增或生成
services/loom-engine/flow/knowledge/releases.ts
services/loom-engine/flow/knowledge/query.ts</x:v>
      </x:c>
      <x:c r="H67" s="16" t="str">
        <x:v>协作接口：接口组知识工具与权限scope</x:v>
      </x:c>
      <x:c r="I67" s="16" t="str">
        <x:v>S01 S02 S06 S07</x:v>
      </x:c>
    </x:row>
    <x:row r="68" ht="98.19999694824219" hidden="0" customHeight="1">
      <x:c r="A68" s="18" t="str">
        <x:v>K-025</x:v>
      </x:c>
      <x:c r="B68" s="18" t="str">
        <x:v>来源删除与撤销的知识血缘传播</x:v>
      </x:c>
      <x:c r="C68" s="18" t="str">
        <x:v>1. 区分断开源、临时不可用、撤权、擦除；沿血缘失效证据/知识/报告/Skill，并执行有receipt的对象和索引清理。</x:v>
      </x:c>
      <x:c r="D68" s="18" t="str">
        <x:v>1. 血缘失效处理
2. 删除receipt
3. tombstone规范</x:v>
      </x:c>
      <x:c r="E68" s="18" t="str">
        <x:v>1. 擦除后检索/媒体定位/已发布知识不再可访问；缓存与向量同步失效
2. 旧报告/Skill显示被撤回依赖，不能静默重定向
3. 重试清理幂等且不跨tenant删除对象；最小tombstone无原文
4. 远程404不会自动误删仍获授权保留的历史知识
5. 停用订阅、正常媒体到期、远程404与撤权/擦除分别处理；只有后者按授权范围传播访问撤销，不能误使正常到期的授权文本全部失效。</x:v>
      </x:c>
      <x:c r="F68" s="18" t="str">
        <x:v>针对该任务的契约或集成验证
关联用例：AC07 AC16 AC23</x:v>
      </x:c>
      <x:c r="G68" s="18" t="str">
        <x:v>现有修改
services/loom-engine/flow/engine.ts
services/loom-engine/flow/gaps9.ts
backend/internal/flow/skills.go
拟新增或生成
services/loom-engine/flow/knowledge/lineage-retention.ts</x:v>
      </x:c>
      <x:c r="H68" s="18" t="str">
        <x:v>协作接口：采集组来源停用与对象生命周期；接口组删除/撤回UI</x:v>
      </x:c>
      <x:c r="I68" s="18" t="str">
        <x:v>S01 S02</x:v>
      </x:c>
    </x:row>
    <x:row r="69" ht="123.4000015258789" hidden="0" customHeight="1">
      <x:c r="A69" s="16" t="str">
        <x:v>IF-015</x:v>
      </x:c>
      <x:c r="B69" s="16" t="str">
        <x:v>注册与安装固定原生行业整理Skill</x:v>
      </x:c>
      <x:c r="C69" s="16" t="str">
        <x:v>1. 接入K提供的video-knowledge-core方法Skill，完成嵌入pack、导出产物、required_tools/mcp_requirements、安装pin和可用性检查；不另写重复方法。</x:v>
      </x:c>
      <x:c r="D69" s="16" t="str">
        <x:v>1. 原生pack注册
2. 可复现导出
3. 安装/运行验证</x:v>
      </x:c>
      <x:c r="E69" s="16" t="str">
        <x:v>1. Skill在原生情报目录可发现并按版本安装，intel_load_skill可读取。
2. required工具/连接缺失给出明确诊断，安装本身不偷偷创建或批准MCP。
3. go:embed真源、industry-packs导出与CI漂移检查一致。
4. run固定Skill version/hash且与K知识snapshot pin结合，不因后台候选变化而漂移。</x:v>
      </x:c>
      <x:c r="F69" s="16" t="str">
        <x:v>针对该任务的契约或集成验证
关联用例：AC20 AC25</x:v>
      </x:c>
      <x:c r="G69" s="16" t="str">
        <x:v>现有修改
backend/internal/flow/skills.go
backend/internal/flow/industry_packs_test.go
industry-packs/README.md
backend/internal/flow/tools_p3.go
拟新增或生成
backend/internal/flow/skillpacks/video-knowledge-core.json
industry-packs/video-knowledge-core/</x:v>
      </x:c>
      <x:c r="H69" s="16" t="str">
        <x:v>协作接口：K-026；K-027</x:v>
      </x:c>
      <x:c r="I69" s="16" t="str">
        <x:v>S06 S11 S12</x:v>
      </x:c>
    </x:row>
    <x:row r="70" ht="85.5999984741211" hidden="0" customHeight="1">
      <x:c r="A70" s="18" t="str">
        <x:v>K-026</x:v>
      </x:c>
      <x:c r="B70" s="18" t="str">
        <x:v>稳定方法Skill固定知识快照与引用约束</x:v>
      </x:c>
      <x:c r="C70" s="18" t="str">
        <x:v>1. 在现有Skill运行pin上绑定知识release/snapshot与工具边界，P0只安装稳定整理/检索方法，不让采集直接改Skill。</x:v>
      </x:c>
      <x:c r="D70" s="18" t="str">
        <x:v>1. 方法Skill
2. run知识snapshot绑定
3. 引用要求</x:v>
      </x:c>
      <x:c r="E70" s="18" t="str">
        <x:v>1. 新run固定方法version/hash与知识snapshot；运行中更新不悄悄改变输入
2. 当前撤权仍能阻断已被删除的内容
3. Skill只通过授权工具取证，不携带Cookie或下载命令</x:v>
      </x:c>
      <x:c r="F70" s="18" t="str">
        <x:v>针对该任务的契约或集成验证
关联用例：AC20 AC25</x:v>
      </x:c>
      <x:c r="G70" s="18" t="str">
        <x:v>现有修改
backend/internal/flow/skills.go
backend/internal/flow/skillpacks/core.json
拟新增或生成
backend/internal/flow/skillpacks/video-knowledge-core.json</x:v>
      </x:c>
      <x:c r="H70" s="18" t="str">
        <x:v>方法内容由K负责；注册安装由IF-015负责，统一video-knowledge-core包。
协作接口：接口组Skill安装与工具可见性</x:v>
      </x:c>
      <x:c r="I70" s="18" t="str">
        <x:v>S06 S11 S12</x:v>
      </x:c>
    </x:row>
    <x:row r="71" ht="85.5999984741211" hidden="0" customHeight="1">
      <x:c r="A71" s="16" t="str">
        <x:v>IF-011</x:v>
      </x:c>
      <x:c r="B71" s="16" t="str">
        <x:v>接通ready通知与接口状态投影</x:v>
      </x:c>
      <x:c r="C71" s="16" t="str">
        <x:v>1. 消费宿主既有outbox事件形成MCP/API/UI可读状态投影；K-017唯一生产ready，COL-023唯一触发Monitor/Canvas，本任务负责接口桥与契约验证。</x:v>
      </x:c>
      <x:c r="D71" s="16" t="str">
        <x:v>1. 状态投影适配
2. 通知契约
3. 重放一致性用例</x:v>
      </x:c>
      <x:c r="E71" s="16" t="str">
        <x:v>1. ready payload含真实document revision/evidence snapshot/profile/hash/coverage，worker不能直接写该事件。
2. 事件重复、乱序、重启补投不会生成重复候选或把已撤销revision重新公开。
3. 状态投影可从宿主真源重建，订阅丢失不会使任务永久停留旧状态。</x:v>
      </x:c>
      <x:c r="F71" s="16" t="str">
        <x:v>针对该任务的契约或集成验证
关联用例：AC03 AC09 AC10 AC13</x:v>
      </x:c>
      <x:c r="G71" s="16" t="str">
        <x:v>现有修改
services/loom-engine/flow/engine.ts
web/src/services/api/intelligence.ts
拟新增或生成
services/loom-engine/flow/video/interface-events.ts</x:v>
      </x:c>
      <x:c r="H71" s="16" t="str">
        <x:v>只投影状态与通知；Monitor/Canvas触发实现唯一归属COL-023。
协作接口：K-017；COL-021；COL-022</x:v>
      </x:c>
      <x:c r="I71" s="16" t="str">
        <x:v>S01 S02 S07 S08</x:v>
      </x:c>
    </x:row>
    <x:row r="72" ht="110.80000305175781" hidden="0" customHeight="1">
      <x:c r="A72" s="18" t="str">
        <x:v>IF-012</x:v>
      </x:c>
      <x:c r="B72" s="18" t="str">
        <x:v>接入Flow工具准入与运行能力快照</x:v>
      </x:c>
      <x:c r="C72" s="18" t="str">
        <x:v>1. 将视频连接注册进现有connection approval、schema hash、intel.mcp.use与run capability体系；使用连接映射解析实际mcp_&lt;slug&gt;_&lt;tool&gt;名称。</x:v>
      </x:c>
      <x:c r="D72" s="18" t="str">
        <x:v>1. 工具注册集成
2. 能力快照字段核对
3. 准入测试</x:v>
      </x:c>
      <x:c r="E72" s="18" t="str">
        <x:v>1. 未批准、被撤销、工具schema漂移的连接不能被Agent调用。
2. read_only模式延续现有策略，不误开放写类MCP采集。
3. 每次run记录工具schema/连接配置/Skill版本和权限快照；执行时仍检查当前撤权。
4. 不依赖硬编码connection slug，也不额外开启Loom静态AGENT_MCP_CONFIG的平行管线。</x:v>
      </x:c>
      <x:c r="F72" s="18" t="str">
        <x:v>针对该任务的契约或集成验证
关联用例：AC05 AC17 AC18</x:v>
      </x:c>
      <x:c r="G72" s="18" t="str">
        <x:v>现有修改
backend/internal/flow/mcp.go
backend/internal/flow/mcp_routes.go
backend/internal/flow/capability.go
backend/internal/app/cloud_agent_flow.go
拟新增或生成
backend/internal/flow/video_mcp_integration_test.go</x:v>
      </x:c>
      <x:c r="H72" s="18" t="str"/>
      <x:c r="I72" s="18" t="str">
        <x:v>S01 S03 S07 S09 S17</x:v>
      </x:c>
    </x:row>
    <x:row r="73" ht="110.80000305175781" hidden="0" customHeight="1">
      <x:c r="A73" s="16" t="str">
        <x:v>IF-013</x:v>
      </x:c>
      <x:c r="B73" s="16" t="str">
        <x:v>验证手动、Agent、API与定时入口同链路</x:v>
      </x:c>
      <x:c r="C73" s="16" t="str">
        <x:v>1. 以共享契约验收不同入口的授权、去重、作业归属和状态语义；不重复实现scheduler或队列。</x:v>
      </x:c>
      <x:c r="D73" s="16" t="str">
        <x:v>1. 多入口集成用例
2. 作业与权限一致性报告</x:v>
      </x:c>
      <x:c r="E73" s="16" t="str">
        <x:v>1. 同时通过UI、MCP和定时提交相同请求不会重复provider下载/媒体入库。
2. 每入口均可追溯actor、grant、source revision、profile和operation。
3. 定时授权撤销、预算不足、Canvas配置变化时按现有规则阻断或重新审批。
4. intel_preview_schedule/apply_schedule仍表示原有简报排程，视频定时走明确新增source调度接口。</x:v>
      </x:c>
      <x:c r="F73" s="16" t="str">
        <x:v>针对该任务的契约或集成验证
关联用例：AC05 AC06 AC18</x:v>
      </x:c>
      <x:c r="G73" s="16" t="str">
        <x:v>现有修改
services/loom-engine/flow/cron.ts
services/loom-engine/flow/engine.ts
backend/internal/flow/tools.go
backend/internal/flow/tools_p3.go
拟新增或生成
services/loom-engine/flow/video/entrypoints.integration.test.ts</x:v>
      </x:c>
      <x:c r="H73" s="16" t="str">
        <x:v>协作接口：COL-008；COL-011；COL-012；COL-013；COL-023</x:v>
      </x:c>
      <x:c r="I73" s="16" t="str">
        <x:v>S02 S03 S07 S17</x:v>
      </x:c>
    </x:row>
    <x:row r="74" ht="85.5999984741211" hidden="0" customHeight="1">
      <x:c r="A74" s="18" t="str">
        <x:v>IF-014</x:v>
      </x:c>
      <x:c r="B74" s="18" t="str">
        <x:v>把视频引用接入现有intel证据读取</x:v>
      </x:c>
      <x:c r="C74" s="18" t="str">
        <x:v>1. 在现有intel_search_documents/read_document返回与引用结构中保留视频时间、revision和证据定位；读取权限继续走宿主，不新增worker evidence_read真源。</x:v>
      </x:c>
      <x:c r="D74" s="18" t="str">
        <x:v>1. 证据返回投影
2. 引用定位桥
3. 引用完整性用例</x:v>
      </x:c>
      <x:c r="E74" s="18" t="str">
        <x:v>1. Agent检索发布知识可返回稳定host evidence/document revision及起止时间。
2. UTF-16区间经宿主映射校验；不存在rune/byte混用造成高亮错位。
3. MCP未导入摘要不能被包装成已验证host evidence；撤回内容立即被当前权限阻断。
4. 引文可在UI定位相同冻结版本，历史run与当前source更新可区分。</x:v>
      </x:c>
      <x:c r="F74" s="18" t="str">
        <x:v>针对该任务的契约或集成验证
关联用例：AC01 AC02 AC08 AC10 AC12 AC16 AC25</x:v>
      </x:c>
      <x:c r="G74" s="18" t="str">
        <x:v>现有修改
backend/internal/flow/tools.go
backend/internal/flow/tools_p4.go
拟新增或生成
backend/internal/flow/video_evidence_projection.go</x:v>
      </x:c>
      <x:c r="H74" s="18" t="str">
        <x:v>协作接口：K-008；K-018；K-024</x:v>
      </x:c>
      <x:c r="I74" s="18" t="str">
        <x:v>S01 S02 S05 S07</x:v>
      </x:c>
    </x:row>
    <x:row r="75" ht="110.80000305175781" hidden="0" customHeight="1">
      <x:c r="A75" s="16" t="str">
        <x:v>IF-018</x:v>
      </x:c>
      <x:c r="B75" s="16" t="str">
        <x:v>嵌入采集批次与视频任务详情UI</x:v>
      </x:c>
      <x:c r="C75" s="16" t="str">
        <x:v>1. 展示operation批次及各video_job/分P的阶段、attempt、重试、授权异常、覆盖和媒体/知识/发布独立进度，提供受权取消/重试。</x:v>
      </x:c>
      <x:c r="D75" s="16" t="str">
        <x:v>1. 作业列表/详情
2. 可恢复操作交互
3. 状态枚举映射</x:v>
      </x:c>
      <x:c r="E75" s="16" t="str">
        <x:v>1. 批次统计可展开到单视频/分P，不用provider task ID作为用户主标识。
2. cancel_requested、reconciliation_required、partial、needs_auth与failed可区分。
3. 下载完成但索引未ready时UI不显示“知识已入库完成”。
4. 刷新页面、断线重连后从真源恢复；原始provider IDs只在诊断权限下显示。</x:v>
      </x:c>
      <x:c r="F75" s="16" t="str">
        <x:v>真实宿主浏览器操作与对应API核对
关联用例：AC03 AC22 AC29</x:v>
      </x:c>
      <x:c r="G75" s="16" t="str">
        <x:v>现有修改
web/src/pages/intelligence/index.tsx
web/src/pages/intelligence/views.tsx
web/src/services/api/intelligence.ts
拟新增或生成
web/src/pages/intelligence/video-ingestion-jobs.tsx
web/src/pages/intelligence/video-ingestion-detail.tsx</x:v>
      </x:c>
      <x:c r="H75" s="16" t="str">
        <x:v>协作接口：COL-012；COL-018；COL-019；COL-024</x:v>
      </x:c>
      <x:c r="I75" s="16" t="str">
        <x:v>S01 S02 S03 S07 S08</x:v>
      </x:c>
    </x:row>
    <x:row r="76" ht="98.19999694824219" hidden="0" customHeight="1">
      <x:c r="A76" s="18" t="str">
        <x:v>IF-019</x:v>
      </x:c>
      <x:c r="B76" s="18" t="str">
        <x:v>补齐MCP配置、授权与网络诊断UI</x:v>
      </x:c>
      <x:c r="C76" s="18" t="str">
        <x:v>1. 在已有mcp.tsx中展示视频连接的传输、凭据引用、审批/schema漂移、可信网络策略和授权失效信息。</x:v>
      </x:c>
      <x:c r="D76" s="18" t="str">
        <x:v>1. 连接健康状态
2. 权限错误UI
3. 管理员操作路径</x:v>
      </x:c>
      <x:c r="E76" s="18" t="str">
        <x:v>1. 连接创建/批准/撤销沿用现有workspace admin/platform operator职责，不自建管理员系统。
2. 未批准、needs_reapproval、私网策略拒绝、凭据失效各有可行动的诊断。
3. 不回显secret；一键修复不绕过审批或放开全局SSRF。</x:v>
      </x:c>
      <x:c r="F76" s="18" t="str">
        <x:v>真实宿主浏览器操作与对应API核对
关联用例：AC03 AC05 AC18 AC19 AC20</x:v>
      </x:c>
      <x:c r="G76" s="18" t="str">
        <x:v>现有修改
web/src/pages/intelligence/mcp.tsx
web/src/pages/intelligence/workspace-admin-panel.tsx
backend/internal/flow/mcp_routes.go
拟新增或生成
web/src/pages/intelligence/video-connection-health.tsx</x:v>
      </x:c>
      <x:c r="H76" s="18" t="str">
        <x:v>协作接口：COL-005</x:v>
      </x:c>
      <x:c r="I76" s="18" t="str">
        <x:v>S01 S03 S07 S08 S09 S17</x:v>
      </x:c>
    </x:row>
    <x:row r="77" ht="85.5999984741211" hidden="0" customHeight="1">
      <x:c r="A77" s="16" t="str">
        <x:v>IF-020</x:v>
      </x:c>
      <x:c r="B77" s="16" t="str">
        <x:v>实现知识候选复核UI</x:v>
      </x:c>
      <x:c r="C77" s="16" t="str">
        <x:v>1. 在宿主工作区呈现知识候选、来源陈述/推断/已验证类型、相关性、冲突、重复和覆盖，调用K后端执行接受、编辑、拒绝与发布。</x:v>
      </x:c>
      <x:c r="D77" s="16" t="str">
        <x:v>1. 候选复核页
2. 冲突/并发提示
3. 发布确认与receipt展示</x:v>
      </x:c>
      <x:c r="E77" s="16" t="str">
        <x:v>1. 候选显示原文/时轴证据并可跳转；编辑需要保留修订和审计。
2. 并发复核冲突提示重新加载，不覆盖他人更新。
3. knowledge_ready与可发布状态分开；缺失证据、撤权或校验失败时不能发布。
4. 审核操作使用现有workspace能力检查，不能仅依赖前端按钮隐藏。</x:v>
      </x:c>
      <x:c r="F77" s="16" t="str">
        <x:v>真实宿主浏览器操作与对应API核对
关联用例：AC01 AC03 AC14 AC16</x:v>
      </x:c>
      <x:c r="G77" s="16" t="str">
        <x:v>现有修改
web/src/pages/intelligence/index.tsx
web/src/services/api/intelligence.ts
拟新增或生成
web/src/pages/intelligence/video-knowledge-review.tsx</x:v>
      </x:c>
      <x:c r="H77" s="16" t="str">
        <x:v>协作接口：K-021；K-022；K-023；K-024</x:v>
      </x:c>
      <x:c r="I77" s="16" t="str">
        <x:v>S01 S06 S07 S08</x:v>
      </x:c>
    </x:row>
    <x:row r="78" ht="98.19999694824219" hidden="0" customHeight="1">
      <x:c r="A78" s="18" t="str">
        <x:v>IF-021</x:v>
      </x:c>
      <x:c r="B78" s="18" t="str">
        <x:v>实现转写证据时轴与版本定位UI</x:v>
      </x:c>
      <x:c r="C78" s="18" t="str">
        <x:v>1. 为音频/字幕证据提供分段分页、点击定位、引用高亮、版本标识和覆盖缺口；媒体访问使用权限检查后的短时地址。</x:v>
      </x:c>
      <x:c r="D78" s="18" t="str">
        <x:v>1. 文本证据时轴
2. 版本定位
3. 受权媒体预览</x:v>
      </x:c>
      <x:c r="E78" s="18" t="str">
        <x:v>1. 含emoji/中文/补充平面字符样本的高亮与时间映射正确，不将UTF-16偏移当字节。
2. 超长转写分页可读，不能因为旧2000 segment限制丢失尾段。
3. 历史证据定位到对应revision，人工校对新revision不静默改旧引用。
4. 无媒体访问权时仍按许可展示允许的文本证据，播放链接不暴露内部对象键。</x:v>
      </x:c>
      <x:c r="F78" s="18" t="str">
        <x:v>真实宿主浏览器操作与对应API核对
关联用例：AC01 AC02 AC03 AC08 AC10 AC12</x:v>
      </x:c>
      <x:c r="G78" s="18" t="str">
        <x:v>现有修改
web/src/pages/intelligence/views.tsx
web/src/services/api/intelligence.ts
拟新增或生成
web/src/pages/intelligence/video-evidence-timeline.tsx
web/src/pages/intelligence/video-transcript-reader.tsx</x:v>
      </x:c>
      <x:c r="H78" s="18" t="str">
        <x:v>协作接口：K-006；K-008；K-009；K-018</x:v>
      </x:c>
      <x:c r="I78" s="18" t="str">
        <x:v>S01 S02 S05 S07 S08</x:v>
      </x:c>
    </x:row>
    <x:row r="79" ht="85.5999984741211" hidden="0" customHeight="1">
      <x:c r="A79" s="16" t="str">
        <x:v>IF-022</x:v>
      </x:c>
      <x:c r="B79" s="16" t="str">
        <x:v>统一覆盖、降级与状态文案</x:v>
      </x:c>
      <x:c r="C79" s="16" t="str">
        <x:v>1. 围绕音轨、字幕、OCR/视觉、索引与发布建立真实状态说明；覆盖不足展示可补救动作，禁止用完成绿标掩盖缺口。</x:v>
      </x:c>
      <x:c r="D79" s="16" t="str">
        <x:v>1. 状态词汇表
2. 覆盖说明组件
3. 降级确认交互</x:v>
      </x:c>
      <x:c r="E79" s="16" t="str">
        <x:v>1. 音频型profile明确“依据语音/字幕”，不能描述为完整视觉理解。
2. partial、truncated、unsupported、silent_video、needs_auth、retry_wait各有说明和下一步。
3. 任何降级只在profile允许或受权确认时发生，页面记录降级原因。
4. 来源对事实的陈述与系统推断以字段/标签区分。</x:v>
      </x:c>
      <x:c r="F79" s="16" t="str">
        <x:v>针对该任务的契约或集成验证
关联用例：AC03 AC09 AC10 AC13</x:v>
      </x:c>
      <x:c r="G79" s="16" t="str">
        <x:v>现有修改
web/src/pages/intelligence/empty-reason.ts
web/src/pages/intelligence/views.tsx
拟新增或生成
web/src/pages/intelligence/video-status-copy.ts</x:v>
      </x:c>
      <x:c r="H79" s="16" t="str">
        <x:v>协作接口：K-001；COL-018</x:v>
      </x:c>
      <x:c r="I79" s="16" t="str">
        <x:v>S01 S02 S05 S07 S08</x:v>
      </x:c>
    </x:row>
    <x:row r="80" ht="85.5999984741211" hidden="0" customHeight="1">
      <x:c r="A80" s="18" t="str">
        <x:v>IF-023</x:v>
      </x:c>
      <x:c r="B80" s="18" t="str">
        <x:v>实现任务通知与恢复操作的权限交互</x:v>
      </x:c>
      <x:c r="C80" s="18" t="str">
        <x:v>1. 复用宿主通知/轮询机制显示长任务状态，提供限定阶段的重试、重新授权、重对账、取消与查看诊断，避免UI产生隐形重提。</x:v>
      </x:c>
      <x:c r="D80" s="18" t="str">
        <x:v>1. 恢复操作面板
2. 可恢复通知
3. 权限联调</x:v>
      </x:c>
      <x:c r="E80" s="18" t="str">
        <x:v>1. 收到重复ready通知不重复弹出可执行发布或新建候选。
2. MCP调用超时提示“正在对账”并跟踪同job，不立即展示再次下载按钮。
3. 重新授权后续跑同host job或明确新attempt，旧fence回写无效。
4. 页面重连和服务重启后恢复任务，操作权限实时复查。</x:v>
      </x:c>
      <x:c r="F80" s="18" t="str">
        <x:v>针对该任务的契约或集成验证
关联用例：AC03 AC04 AC06 AC07 AC17 AC21</x:v>
      </x:c>
      <x:c r="G80" s="18" t="str">
        <x:v>现有修改
web/src/services/api/intelligence.ts
web/src/pages/intelligence/index.tsx
拟新增或生成
web/src/pages/intelligence/video-job-actions.tsx</x:v>
      </x:c>
      <x:c r="H80" s="18" t="str">
        <x:v>协作接口：COL-019；COL-024</x:v>
      </x:c>
      <x:c r="I80" s="18" t="str">
        <x:v>S01 S02 S03 S07 S08 S09 S16</x:v>
      </x:c>
    </x:row>
    <x:row r="81" ht="85.5999984741211" hidden="0" customHeight="1">
      <x:c r="A81" s="16" t="str">
        <x:v>IF-027</x:v>
      </x:c>
      <x:c r="B81" s="16" t="str">
        <x:v>实现撤回、失效与来源删除影响UI</x:v>
      </x:c>
      <x:c r="C81" s="16" t="str">
        <x:v>1. 展示来源/对象/证据/知识/Skill依赖的撤权影响并调用后端受控操作；历史审计与当前可访问内容分开呈现。</x:v>
      </x:c>
      <x:c r="D81" s="16" t="str">
        <x:v>1. 撤回影响视图
2. 失效引用展示
3. 操作receipt</x:v>
      </x:c>
      <x:c r="E81" s="16" t="str">
        <x:v>1. 撤销后新检索/播放/发布阻断，旧报告显示证据失效而非伪装仍可验证。
2. 重新导入不自动复活被人工撤回知识或Skill。
3. 删除范围、保留审计和待清理对象明确；批量操作具备权限与审计。</x:v>
      </x:c>
      <x:c r="F81" s="16" t="str">
        <x:v>真实宿主浏览器操作与对应API核对
关联用例：AC03 AC07 AC16 AC23</x:v>
      </x:c>
      <x:c r="G81" s="16" t="str">
        <x:v>现有修改
web/src/pages/intelligence/sources-panel.tsx
web/src/pages/intelligence/reports-panel.tsx
拟新增或生成
web/src/pages/intelligence/video-lineage-impact.tsx</x:v>
      </x:c>
      <x:c r="H81" s="16" t="str">
        <x:v>P0实现知识撤回和媒体生命周期；P1 Skill影响追踪并入IF-026。
协作接口：K-025；COL-029</x:v>
      </x:c>
      <x:c r="I81" s="16" t="str">
        <x:v>S01 S02 S07 S08</x:v>
      </x:c>
    </x:row>
    <x:row r="82" ht="110.80000305175781" hidden="0" customHeight="1">
      <x:c r="A82" s="18" t="str">
        <x:v>COL-026</x:v>
      </x:c>
      <x:c r="B82" s="18" t="str">
        <x:v>本组单元与契约测试</x:v>
      </x:c>
      <x:c r="C82" s="18" t="str">
        <x:v>1. fixture覆盖B站多P、抖音分享文案、分页置顶/重复/空页、DTK各任务终态与合同漂移。
2. 断言状态转换、请求hash冲突、cursor/coverage语义与scope，不为简单getter写镜像测试。
3. 测试mock明确mode=fixture；不把fixture结果登记成live验收。</x:v>
      </x:c>
      <x:c r="D82" s="18" t="str">
        <x:v>1. 已实现的模块与契约
2. 对应验证记录</x:v>
      </x:c>
      <x:c r="E82" s="18" t="str">
        <x:v>1. 契约测试可离线稳定运行并覆盖实际风险分支。
2. 新增代码路径测试与现有来源回归通过。
3. 支持DTK版本的schema快照变动会使契约测试失败。</x:v>
      </x:c>
      <x:c r="F82" s="18" t="str">
        <x:v>固定夹具与实际环境验收，保存运行ID和结果
关联用例：AC04 AC05 AC06 AC19 AC20 AC27 AC29</x:v>
      </x:c>
      <x:c r="G82" s="18" t="str">
        <x:v>现有修改
services/loom-engine/flow/engine.test.ts
services/loom-engine/flow/reliability.test.ts
拟新增或生成
services/loom-engine/flow/video/contracts.test.ts
services/loom-engine/flow/video/discovery.test.ts
services/loom-engine/flow/video/provider.test.ts</x:v>
      </x:c>
      <x:c r="H82" s="18" t="str"/>
      <x:c r="I82" s="18" t="str">
        <x:v>S02 S03 S09 S15 S18</x:v>
      </x:c>
    </x:row>
    <x:row r="83" ht="98.19999694824219" hidden="0" customHeight="1">
      <x:c r="A83" s="16" t="str">
        <x:v>COL-027</x:v>
      </x:c>
      <x:c r="B83" s="16" t="str">
        <x:v>跨服务故障注入与恢复验收</x:v>
      </x:c>
      <x:c r="C83" s="16" t="str">
        <x:v>1. 注入进程kill、租约过期旧worker复活、DTK接单后断连、MinIO半文件、COMMIT结果不明、429、授权撤销与重复outbox。
2. 覆盖不同scope请求相同视频、同一任务并发取消/完成、provider部分成功与知识处理失败。
3. 验证只有失败阶段重试，已确认完成的阶段不重复计费。</x:v>
      </x:c>
      <x:c r="D83" s="16" t="str">
        <x:v>1. 已实现的模块与契约
2. 对应验证记录</x:v>
      </x:c>
      <x:c r="E83" s="16" t="str">
        <x:v>1. 无未记录漏视频、无跨scope资产泄露、无过早ready、无重复有效Canvas运行。
2. 每个故障有可观察状态与恢复证据，不能用重建数据库作为恢复方案。
3. 已证明无法自动判断的状态进入reconcile/人工确认而非假成功。</x:v>
      </x:c>
      <x:c r="F83" s="16" t="str">
        <x:v>固定夹具与实际环境验收，保存运行ID和结果
关联用例：AC04 AC06 AC07 AC21 AC27 AC29</x:v>
      </x:c>
      <x:c r="G83" s="16" t="str">
        <x:v>现有修改
services/loom-engine/flow/reliability.test.ts
backend/internal/flow/command_outbox_test.go
拟新增或生成
services/loom-engine/validation/video-ingestion/fault-injection.mjs
docs/video-ingestion/FAULT-MATRIX.md</x:v>
      </x:c>
      <x:c r="H83" s="16" t="str"/>
      <x:c r="I83" s="16" t="str">
        <x:v>S02 S16 S18</x:v>
      </x:c>
    </x:row>
    <x:row r="84" ht="110.80000305175781" hidden="0" customHeight="1">
      <x:c r="A84" s="18" t="str">
        <x:v>COL-028</x:v>
      </x:c>
      <x:c r="B84" s="18" t="str">
        <x:v>授权样本试点、灰度与回滚</x:v>
      </x:c>
      <x:c r="C84" s="18" t="str">
        <x:v>1. 先在测试workspace和经授权样本开启B站/抖音单视频及作者源；样本规模为建议基线，例如每平台10–15条含短/长/多P/无字幕/失败样本。
2. 按workspace/source开关灰度，观察一个或多个实际调度周期后扩大。
3. 回滚关闭新提交/调度，允许已接收任务按政策完成或取消，保持新表数据与旧来源兼容；不得回滚到会忽略新状态的worker。
4. 记录实测环境、样本和结果，不预填性能/平台成功率。</x:v>
      </x:c>
      <x:c r="D84" s="18" t="str">
        <x:v>1. 已实现的模块与契约
2. 对应验证记录</x:v>
      </x:c>
      <x:c r="E84" s="18" t="str">
        <x:v>1. P0闭环真实样本能从source产生可检索知识并触发既有工作流，错误样本有正确终态。
2. 关闭开关后无新视频任务，旧RSS/Telegram/WeChat继续工作。
3. 回滚演练能恢复兼容版本且不丢已入库document/media/job映射。</x:v>
      </x:c>
      <x:c r="F84" s="18" t="str">
        <x:v>固定夹具与实际环境验收，保存运行ID和结果
关联用例：AC03 AC24 AC27 AC28 AC29</x:v>
      </x:c>
      <x:c r="G84" s="18" t="str">
        <x:v>现有修改
backend/internal/flow/routes.go
services/loom-engine/flow/main.ts
拟新增或生成
docs/video-ingestion/PILOT.md
docs/video-ingestion/ROLLOUT-ROLLBACK.md</x:v>
      </x:c>
      <x:c r="H84" s="18" t="str">
        <x:v>协作接口：K:P0知识闭环验收；IF:P0工具与UI验收</x:v>
      </x:c>
      <x:c r="I84" s="18" t="str">
        <x:v>S01 S02 S08 S10 S18</x:v>
      </x:c>
    </x:row>
    <x:row r="85" ht="110.80000305175781" hidden="0" customHeight="1">
      <x:c r="A85" s="16" t="str">
        <x:v>IF-029</x:v>
      </x:c>
      <x:c r="B85" s="16" t="str">
        <x:v>完成租户隔离、注入与权限回归</x:v>
      </x:c>
      <x:c r="C85" s="16" t="str">
        <x:v>1. 针对真实接口边界测试跨租户job/source/artifact、SSRF、伪造ready、工具schema漂移、恶意字幕指令和被撤销证据引用。</x:v>
      </x:c>
      <x:c r="D85" s="16" t="str">
        <x:v>1. 边界安全报告
2. 越权/注入回归
3. 修复验收</x:v>
      </x:c>
      <x:c r="E85" s="16" t="str">
        <x:v>1. 跨workspace任务查询/取消/manifest提交/媒体读取均被阻断且不泄露数据。
2. 字幕或OCR中的“调用工具/导出秘密”只作为来源文本，不扩大Agent权限或修改Skill。
3. artifact hash/path/fence、event来源、schema hash攻击被拒绝并记录必要审计。
4. 删除/撤权与正在运行的Agent并发时，执行时权限复查仍有效。</x:v>
      </x:c>
      <x:c r="F85" s="16" t="str">
        <x:v>固定夹具与实际环境验收，保存运行ID和结果
关联用例：AC17 AC19 AC20 AC27 AC29</x:v>
      </x:c>
      <x:c r="G85" s="16" t="str">
        <x:v>现有修改
backend/internal/flow/egress.go
backend/internal/flow/capability.go
backend/internal/flow/mcp.go
services/loom-engine/flow/auth.ts
拟新增或生成
tests/video-knowledge/security/</x:v>
      </x:c>
      <x:c r="H85" s="16" t="str">
        <x:v>P0上线门禁；P1新增发布界面由QA-003再次执行同一回归集。
协作接口：COL-026；K-030</x:v>
      </x:c>
      <x:c r="I85" s="16" t="str">
        <x:v>S01 S03 S09 S18</x:v>
      </x:c>
    </x:row>
    <x:row r="86" ht="98.19999694824219" hidden="0" customHeight="1">
      <x:c r="A86" s="18" t="str">
        <x:v>K-030</x:v>
      </x:c>
      <x:c r="B86" s="18" t="str">
        <x:v>知识闭环定向验收与故障恢复样本集</x:v>
      </x:c>
      <x:c r="C86" s="18" t="str">
        <x:v>1. 建立针对真实代码风险的P0端到端验证，P1视觉/Skill质量样例由对应任务补充，避免只镜像实现的空测试。</x:v>
      </x:c>
      <x:c r="D86" s="18" t="str">
        <x:v>1. 授权/合成样本清单
2. 可重复验收脚本
3. 结果记录</x:v>
      </x:c>
      <x:c r="E86" s="18" t="str">
        <x:v>1. 覆盖KA-01至KA-10：无字幕、鉴权失败、2100段、Unicode、恢复、刷新覆盖、索引失败、旧批准、删除
2. 断言原文quote/hash/时间和权限结果，不只断言HTTP200
3. 模型质量指标与人工复核结论分开；阈值待实样校准</x:v>
      </x:c>
      <x:c r="F86" s="18" t="str">
        <x:v>固定夹具与实际环境验收，保存运行ID和结果
关联用例：AC27 AC29</x:v>
      </x:c>
      <x:c r="G86" s="18" t="str">
        <x:v>现有修改
services/loom-engine/flow/engine.test.ts
services/loom-engine/workers/asr/test_server.py
拟新增或生成
services/loom-engine/flow/video/acceptance.test.ts
services/loom-engine/validation/video-knowledge/</x:v>
      </x:c>
      <x:c r="H86" s="18" t="str"/>
      <x:c r="I86" s="18" t="str">
        <x:v>S18</x:v>
      </x:c>
    </x:row>
    <x:row r="87" ht="76" hidden="0" customHeight="1">
      <x:c r="A87" s="16" t="str">
        <x:v>QA-001</x:v>
      </x:c>
      <x:c r="B87" s="16" t="str">
        <x:v>验收基础闭环的真实宿主路径</x:v>
      </x:c>
      <x:c r="C87" s="16" t="str">
        <x:v>1. 在真实登录宿主分别完成手工、MCP、账号定时的双平台路径，检索引用并复核；关闭聊天验证持续运行；保存运行ID和可复现证据。</x:v>
      </x:c>
      <x:c r="D87" s="16" t="str">
        <x:v>1. P0端到端验收报告</x:v>
      </x:c>
      <x:c r="E87" s="16" t="str">
        <x:v>1. 基础闭环相关AC全部通过；不用独立脚本返回的模拟文本代替宿主Agent真实调用。</x:v>
      </x:c>
      <x:c r="F87" s="16" t="str">
        <x:v>固定夹具与实际环境验收，保存运行ID和结果
关联用例：AC01 AC02 AC03 AC05 AC14 AC16 AC18 AC20 AC21 AC25 AC27 AC29</x:v>
      </x:c>
      <x:c r="G87" s="16" t="str">
        <x:v>现有：沿用宿主公共能力
拟新增或生成
tests/video-knowledge/e2e/p0/
docs/video-knowledge/p0-acceptance.md</x:v>
      </x:c>
      <x:c r="H87" s="16" t="str"/>
      <x:c r="I87" s="16" t="str">
        <x:v>S01 S02 S03 S06 S07 S08 S10 S11 S12 S15 S17 S18</x:v>
      </x:c>
    </x:row>
    <x:row r="88" ht="76" hidden="0" customHeight="1">
      <x:c r="A88" s="18" t="str">
        <x:v>K-010</x:v>
      </x:c>
      <x:c r="B88" s="18" t="str">
        <x:v>隔离BiliNote抽帧处理工作目录</x:v>
      </x:c>
      <x:c r="C88" s="18" t="str">
        <x:v>1. 提取BiliNote抽帧逻辑时为tenant/job/artifact建立独立临时目录，清理只作用于当前产物。</x:v>
      </x:c>
      <x:c r="D88" s="18" t="str">
        <x:v>1. 隔离抽帧adapter
2. 清理生命周期规则</x:v>
      </x:c>
      <x:c r="E88" s="18" t="str">
        <x:v>1. 并发处理两个视频帧、网格和OCR不混淆
2. 取消或清理一个任务不删除另一任务文件
3. 临时路径不被外部内容自由指定</x:v>
      </x:c>
      <x:c r="F88" s="18" t="str">
        <x:v>针对该任务的契约或集成验证
关联用例：AC10 AC19 AC20</x:v>
      </x:c>
      <x:c r="G88" s="18" t="str">
        <x:v>现有：沿用宿主公共能力
拟新增或生成
services/video-knowledge/frames/workspace.py</x:v>
      </x:c>
      <x:c r="H88" s="18" t="str">
        <x:v>协作接口：BiliNote固定版本backend/app/utils/video_reader.py</x:v>
      </x:c>
      <x:c r="I88" s="18" t="str">
        <x:v>S03 S04 S09 S13 S14</x:v>
      </x:c>
    </x:row>
    <x:row r="89" ht="76" hidden="0" customHeight="1">
      <x:c r="A89" s="16" t="str">
        <x:v>K-011</x:v>
      </x:c>
      <x:c r="B89" s="16" t="str">
        <x:v>抽帧策略、尾组保留与视觉覆盖披露</x:v>
      </x:c>
      <x:c r="C89" s="16" t="str">
        <x:v>1. 以profile定义定时/场景变化抽帧、最大预算和覆盖，修复不足网格尾组与短视频丢帧。</x:v>
      </x:c>
      <x:c r="D89" s="16" t="str">
        <x:v>1. 抽帧策略
2. 帧manifest
3. 采样coverage</x:v>
      </x:c>
      <x:c r="E89" s="16" t="str">
        <x:v>1. 短视频与不足一组尾帧有可追溯输出，不因网格不足静默跳过
2. 达到帧预算时明确采样范围，不能声称全视频逐帧分析
3. 每帧timestamp/hash/来源媒体一致，策略参数标建议基线待校准</x:v>
      </x:c>
      <x:c r="F89" s="16" t="str">
        <x:v>针对该任务的契约或集成验证
关联用例：AC10</x:v>
      </x:c>
      <x:c r="G89" s="16" t="str">
        <x:v>现有：沿用宿主公共能力
拟新增或生成
services/video-knowledge/frames/extractor.py</x:v>
      </x:c>
      <x:c r="H89" s="16" t="str">
        <x:v>协作接口：BiliNote固定版本backend/app/utils/video_reader.py</x:v>
      </x:c>
      <x:c r="I89" s="16" t="str">
        <x:v>S04 S13 S14</x:v>
      </x:c>
    </x:row>
    <x:row r="90" ht="85.5999984741211" hidden="0" customHeight="1">
      <x:c r="A90" s="18" t="str">
        <x:v>K-012</x:v>
      </x:c>
      <x:c r="B90" s="18" t="str">
        <x:v>复用宿主OCR并保存帧级文字证据</x:v>
      </x:c>
      <x:c r="C90" s="18" t="str">
        <x:v>1. 将关键帧图像交现有OCR，保存完整文字和帧定位；需要版面坐标时扩展可选字段。</x:v>
      </x:c>
      <x:c r="D90" s="18" t="str">
        <x:v>1. OCR frame适配器
2. 帧文字产物
3. 完整性标识</x:v>
      </x:c>
      <x:c r="E90" s="18" t="str">
        <x:v>1. OCR文字绑定frame_id/time/media hash；错误帧可单独重跑
2. 超字符/尺寸上限明确返回而非静默切片
3. 普通OCR结果不标为已验证公式/图表语义</x:v>
      </x:c>
      <x:c r="F90" s="18" t="str">
        <x:v>针对该任务的契约或集成验证
关联用例：AC01 AC02 AC08 AC10 AC12</x:v>
      </x:c>
      <x:c r="G90" s="18" t="str">
        <x:v>现有修改
services/loom-engine/workers/ocr/server.py
services/loom-engine/flow/enrichment.ts
拟新增或生成
services/loom-engine/flow/video/frame-ocr.ts</x:v>
      </x:c>
      <x:c r="H90" s="18" t="str"/>
      <x:c r="I90" s="18" t="str">
        <x:v>S02 S04 S05 S13 S14</x:v>
      </x:c>
    </x:row>
    <x:row r="91" ht="76" hidden="0" customHeight="1">
      <x:c r="A91" s="16" t="str">
        <x:v>K-013</x:v>
      </x:c>
      <x:c r="B91" s="16" t="str">
        <x:v>VLM视觉观察与推断分类型输出</x:v>
      </x:c>
      <x:c r="C91" s="16" t="str">
        <x:v>1. 经宿主Model Gateway按schema抽取画面观察、可见文字、动作/步骤候选，关联帧和引用范围。</x:v>
      </x:c>
      <x:c r="D91" s="16" t="str">
        <x:v>1. 视觉提取schema
2. gateway调用适配
3. 视觉候选验证器</x:v>
      </x:c>
      <x:c r="E91" s="16" t="str">
        <x:v>1. 每项观察引用实际输入frame_id，幻造帧引用拒绝
2. OCR原文、直接视觉观察与模型推断具有不同类型和审阅标记
3. 模型不支持图像时明确降级/失败，不返回假多模态成功</x:v>
      </x:c>
      <x:c r="F91" s="16" t="str">
        <x:v>针对该任务的契约或集成验证
关联用例：AC10 AC14</x:v>
      </x:c>
      <x:c r="G91" s="16" t="str">
        <x:v>现有修改
backend/internal/flow/model_gateway.go
拟新增或生成
services/loom-engine/flow/video/visual-observations.ts</x:v>
      </x:c>
      <x:c r="H91" s="16" t="str">
        <x:v>协作接口：接口组Model Gateway任务桥接</x:v>
      </x:c>
      <x:c r="I91" s="16" t="str">
        <x:v>S04 S06 S07 S13 S14</x:v>
      </x:c>
    </x:row>
    <x:row r="92" ht="85.5999984741211" hidden="0" customHeight="1">
      <x:c r="A92" s="18" t="str">
        <x:v>K-014</x:v>
      </x:c>
      <x:c r="B92" s="18" t="str">
        <x:v>抽取BiliNote分段总结能力并接宿主网关</x:v>
      </x:c>
      <x:c r="C92" s="18" t="str">
        <x:v>1. 只复用提示/图文消息/分段归纳思路，按token和请求上限执行可覆盖总结，记录输入产物版本；不用BiliNote全局模型配置与Chroma。</x:v>
      </x:c>
      <x:c r="D92" s="18" t="str">
        <x:v>1. 受控内容总结adapter
2. 输入消费manifest
3. 层级摘要产物</x:v>
      </x:c>
      <x:c r="E92" s="18" t="str">
        <x:v>1. 每个required输入segment/frame在消费清单可见，遗漏会阻断完整成功
2. 摘要仅进入derived结果，不混为原作者原话
3. 无BiliNote全局凭据、进程内主队列、Chroma和未使用PDF依赖</x:v>
      </x:c>
      <x:c r="F92" s="18" t="str">
        <x:v>针对该任务的契约或集成验证
关联用例：AC10 AC14</x:v>
      </x:c>
      <x:c r="G92" s="18" t="str">
        <x:v>现有修改
backend/internal/flow/model_gateway.go
services/loom-engine/flow/reports.ts
拟新增或生成
services/video-knowledge/synthesis/adapter.py</x:v>
      </x:c>
      <x:c r="H92" s="18" t="str">
        <x:v>协作接口：BiliNote固定版本backend/app/gpt/universal_gpt.py及request_chunker.py</x:v>
      </x:c>
      <x:c r="I92" s="18" t="str">
        <x:v>S04 S06 S07 S13 S14</x:v>
      </x:c>
    </x:row>
    <x:row r="93" ht="76" hidden="0" customHeight="1">
      <x:c r="A93" s="16" t="str">
        <x:v>K-015</x:v>
      </x:c>
      <x:c r="B93" s="16" t="str">
        <x:v>对齐语音、OCR与视觉证据并处理冲突</x:v>
      </x:c>
      <x:c r="C93" s="16" t="str">
        <x:v>1. 以媒体时间范围建立多模态关联，支持未能对齐、画面与语音不一致和多说话上下文。</x:v>
      </x:c>
      <x:c r="D93" s="16" t="str">
        <x:v>1. 多模态关联规则
2. 冲突标记
3. 定位读模型</x:v>
      </x:c>
      <x:c r="E93" s="16" t="str">
        <x:v>1. 无足够定位关系时返回unaligned而非猜测同一事实
2. 原话/画面冲突保留两侧证据进入复核
3. 证据播放器读取的是固定产物对象而非临时URL猜测</x:v>
      </x:c>
      <x:c r="F93" s="16" t="str">
        <x:v>针对该任务的契约或集成验证
关联用例：AC01 AC02 AC08 AC10 AC12 AC15</x:v>
      </x:c>
      <x:c r="G93" s="16" t="str">
        <x:v>现有修改
backend/internal/flow/citations.go
拟新增或生成
services/loom-engine/flow/video/multimodal-alignment.ts</x:v>
      </x:c>
      <x:c r="H93" s="16" t="str"/>
      <x:c r="I93" s="16" t="str">
        <x:v>S02 S04 S05 S06 S13 S14</x:v>
      </x:c>
    </x:row>
    <x:row r="94" ht="85.5999984741211" hidden="0" customHeight="1">
      <x:c r="A94" s="18" t="str">
        <x:v>K-020</x:v>
      </x:c>
      <x:c r="B94" s="18" t="str">
        <x:v>近重复视频与来源独立性治理</x:v>
      </x:c>
      <x:c r="C94" s="18" t="str">
        <x:v>1. 对搬运/剪辑/重复字幕建立内容指纹与origin group候选，保留不同账号来源但不把重复内容算独立佐证。</x:v>
      </x:c>
      <x:c r="D94" s="18" t="str">
        <x:v>1. 近重复识别
2. 来源血缘分组
3. 独立性复核字段</x:v>
      </x:c>
      <x:c r="E94" s="18" t="str">
        <x:v>1. 同一视频搬运样例不能仅因两个source_id升级cross_source_verified
2. 误合并可人工拆分，操作保留审计
3. 匹配阈值标建议基线并用授权正负样本校准</x:v>
      </x:c>
      <x:c r="F94" s="18" t="str">
        <x:v>针对该任务的契约或集成验证
关联用例：AC15</x:v>
      </x:c>
      <x:c r="G94" s="18" t="str">
        <x:v>现有修改
backend/internal/flow/citations.go
services/loom-engine/flow/reports.ts
拟新增或生成
services/loom-engine/flow/knowledge/source-independence.ts</x:v>
      </x:c>
      <x:c r="H94" s="18" t="str"/>
      <x:c r="I94" s="18" t="str">
        <x:v>S02 S06</x:v>
      </x:c>
    </x:row>
    <x:row r="95" ht="85.5999984741211" hidden="0" customHeight="1">
      <x:c r="A95" s="16" t="str">
        <x:v>K-029</x:v>
      </x:c>
      <x:c r="B95" s="16" t="str">
        <x:v>多源冲突与知识更新审阅</x:v>
      </x:c>
      <x:c r="C95" s="16" t="str">
        <x:v>1. 对同一知识单元的新来源、时效变化或互斥结论生成冲突集合；为批量UI提供后端筛选与版本批准操作。</x:v>
      </x:c>
      <x:c r="D95" s="16" t="str">
        <x:v>1. 冲突检测与分组
2. 版本取代策略
3. 批量审阅后端</x:v>
      </x:c>
      <x:c r="E95" s="16" t="str">
        <x:v>1. 冲突不按新旧或票数自动覆盖正式知识
2. 每侧结论保留原证据/时间/来源独立性
3. 批量操作按每项版本与权限校验，部分失败有结果而不整批误批准</x:v>
      </x:c>
      <x:c r="F95" s="16" t="str">
        <x:v>针对该任务的契约或集成验证
关联用例：AC01 AC14 AC15 AC16</x:v>
      </x:c>
      <x:c r="G95" s="16" t="str">
        <x:v>现有修改
services/loom-engine/flow/reports.ts
backend/internal/flow/citations.go
拟新增或生成
services/loom-engine/flow/knowledge/conflicts.ts</x:v>
      </x:c>
      <x:c r="H95" s="16" t="str">
        <x:v>协作接口：IF-025批量审阅UI</x:v>
      </x:c>
      <x:c r="I95" s="16" t="str">
        <x:v>S01 S02 S06</x:v>
      </x:c>
    </x:row>
    <x:row r="96" ht="85.5999984741211" hidden="0" customHeight="1">
      <x:c r="A96" s="18" t="str">
        <x:v>IF-025</x:v>
      </x:c>
      <x:c r="B96" s="18" t="str">
        <x:v>实现候选Skill版本与评测审阅UI</x:v>
      </x:c>
      <x:c r="C96" s="18" t="str">
        <x:v>1. 展示候选方法、版本差异、冻结知识/证据快照、工具依赖、eval样例/分数/失败项，调用后端批准或退回发布候选。</x:v>
      </x:c>
      <x:c r="D96" s="18" t="str">
        <x:v>1. 候选版本审阅
2. 评测结果视图
3. 批准/退回流程</x:v>
      </x:c>
      <x:c r="E96" s="18" t="str">
        <x:v>1. draft/evaluation_running/passed/approved_for_release状态清楚；评测失败或证据撤回不能批准。
2. 审阅者可查看与上一版本差异、行为边界和所需工具权限。
3. 批准动作附审计/理由，模型生成不能直接成为生产可用Skill。
4. UI缺席不阻塞后端schema实现，前后端共同以冻结契约联调。</x:v>
      </x:c>
      <x:c r="F96" s="18" t="str">
        <x:v>真实宿主浏览器操作与对应API核对
关联用例：AC03 AC26 AC27</x:v>
      </x:c>
      <x:c r="G96" s="18" t="str">
        <x:v>现有修改
web/src/pages/intelligence/workspace-admin-panel.tsx
web/src/services/api/intelligence.ts
拟新增或生成
web/src/pages/intelligence/video-skill-candidate-review.tsx</x:v>
      </x:c>
      <x:c r="H96" s="18" t="str">
        <x:v>协作接口：K-028；K-029</x:v>
      </x:c>
      <x:c r="I96" s="18" t="str">
        <x:v>S01 S06 S07 S08 S12</x:v>
      </x:c>
    </x:row>
    <x:row r="97" ht="123.4000015258789" hidden="0" customHeight="1">
      <x:c r="A97" s="16" t="str">
        <x:v>IF-026</x:v>
      </x:c>
      <x:c r="B97" s="16" t="str">
        <x:v>实现源控发布包与安装状态追踪</x:v>
      </x:c>
      <x:c r="C97" s="16" t="str">
        <x:v>1. 将已批准JSON发布包、源控版本/构建部署receipt与workspace安装pin关联展示；使用既有原生Skill安装接口，不模拟动态热发布。</x:v>
      </x:c>
      <x:c r="D97" s="16" t="str">
        <x:v>1. 发布与安装状态页
2. CI receipt关联
3. 回滚路径</x:v>
      </x:c>
      <x:c r="E97" s="16" t="str">
        <x:v>1. approved_for_release、release_package_exported、deployed、workspace_installed各自有真实receipt和状态。
2. 未经成功部署的候选不显示为可用版本；旧版本安装pin仍可解析。
3. 导出包无秘密/全量视频；同版本内容变化要求新版本/hash。
4. 安装/回滚要求当前权限和依赖可用性，UI失败不会改变已冻结运行。</x:v>
      </x:c>
      <x:c r="F97" s="16" t="str">
        <x:v>针对该任务的契约或集成验证
关联用例：AC03 AC07 AC16 AC23 AC26 AC27</x:v>
      </x:c>
      <x:c r="G97" s="16" t="str">
        <x:v>现有修改
backend/internal/flow/skills.go
backend/internal/flow/routes.go
backend/internal/flow/industry_packs_test.go
web/src/services/api/intelligence.ts
拟新增或生成
web/src/pages/intelligence/video-skill-release-status.tsx
docs/video-knowledge/release-runbook.md</x:v>
      </x:c>
      <x:c r="H97" s="16" t="str">
        <x:v>协作接口：K-028；K-026</x:v>
      </x:c>
      <x:c r="I97" s="16" t="str">
        <x:v>S01 S02 S06 S07 S08 S12</x:v>
      </x:c>
    </x:row>
    <x:row r="98" ht="110.80000305175781" hidden="0" customHeight="1">
      <x:c r="A98" s="18" t="str">
        <x:v>K-028</x:v>
      </x:c>
      <x:c r="B98" s="18" t="str">
        <x:v>Skill候选版本、评测与源控发布包</x:v>
      </x:c>
      <x:c r="C98" s="18" t="str">
        <x:v>1. 将经复核知识方法提炼为兼容现有SkillPack的候选，冻结依赖与样例，评测批准后导出JSON包，经CI构建部署再workspace安装。</x:v>
      </x:c>
      <x:c r="D98" s="18" t="str">
        <x:v>1. Skill候选schema
2. 评测报告
3. 版本化JSON发布包
4. 部署/安装receipt关联</x:v>
      </x:c>
      <x:c r="E98" s="18" t="str">
        <x:v>1. 候选、approved_for_release、deployed、installed状态分开
2. 同Skill版本内容变化必须新hash/新版本，已有run pin继续可解析
3. 评测失败或依赖已撤回阻断发布；包不包含全量视频、秘密或未经授权内容
4. 动态Skill registry不被伪装为V1已有能力</x:v>
      </x:c>
      <x:c r="F98" s="18" t="str">
        <x:v>针对该任务的契约或集成验证
关联用例：AC26 AC27</x:v>
      </x:c>
      <x:c r="G98" s="18" t="str">
        <x:v>现有修改
backend/internal/flow/skills.go
backend/internal/flow/industry_packs_test.go
industry-packs/README.md
拟新增或生成
services/loom-engine/flow/knowledge/skill-proposals.ts
docs/video-knowledge/skill-release-contract.md</x:v>
      </x:c>
      <x:c r="H98" s="18" t="str">
        <x:v>先完成后端候选与发布包；UI是下游协作，不作为反向硬依赖。
协作接口：CI构建部署链路</x:v>
      </x:c>
      <x:c r="I98" s="18" t="str">
        <x:v>S06 S12</x:v>
      </x:c>
    </x:row>
    <x:row r="99" ht="98.19999694824219" hidden="0" customHeight="1">
      <x:c r="A99" s="16" t="str">
        <x:v>IF-024</x:v>
      </x:c>
      <x:c r="B99" s="16" t="str">
        <x:v>扩展帧、OCR与视觉观察证据时轴</x:v>
      </x:c>
      <x:c r="C99" s="16" t="str">
        <x:v>1. 在原有转写时轴上叠加关键帧/OCR/视觉观察与推断，展示处理覆盖和遗漏，继续使用宿主证据引用。</x:v>
      </x:c>
      <x:c r="D99" s="16" t="str">
        <x:v>1. 视觉证据组件
2. 覆盖可视化
3. 跨模态引用交互</x:v>
      </x:c>
      <x:c r="E99" s="16" t="str">
        <x:v>1. 文字、帧、OCR和观察能按时间联动，不把无证据推断显示为帧原文。
2. 抽帧不是全帧理解，页面明确采样区间、密度与失败区间。
3. 视觉必需profile未完成时保持partial/未ready而非误绿。
4. 长视频大量帧分页/虚拟化并按权限懒加载，不一次下载全部媒体。</x:v>
      </x:c>
      <x:c r="F99" s="16" t="str">
        <x:v>针对该任务的契约或集成验证
关联用例：AC01 AC02 AC03 AC08 AC10 AC12</x:v>
      </x:c>
      <x:c r="G99" s="16" t="str">
        <x:v>现有修改
web/src/pages/intelligence/views.tsx
web/src/services/api/intelligence.ts
拟新增或生成
web/src/pages/intelligence/video-evidence-timeline.tsx （IF-021新建后扩展）
web/src/pages/intelligence/video-visual-evidence.tsx</x:v>
      </x:c>
      <x:c r="H99" s="16" t="str">
        <x:v>协作接口：K-011；K-012；K-013；K-015</x:v>
      </x:c>
      <x:c r="I99" s="16" t="str">
        <x:v>S01 S02 S04 S05 S07 S08 S13 S14</x:v>
      </x:c>
    </x:row>
    <x:row r="100" ht="85.5999984741211" hidden="0" customHeight="1">
      <x:c r="A100" s="18" t="str">
        <x:v>COL-030</x:v>
      </x:c>
      <x:c r="B100" s="18" t="str">
        <x:v>持续覆盖核对与源修订处理</x:v>
      </x:c>
      <x:c r="C100" s="18" t="str">
        <x:v>1. 定期核对分页覆盖、游标断层和上游内容更新；核对仍由Loom调度而非新增自治cron。
2. 视频标题/简介/媒体内容修订用新source/content版本，媒体hash变动触发新pipeline generation。
3. 平台删除/不可访问标source status和last_seen，不自动抹除已有授权归档，也不继续对外声称原链接可访问。
4. 更新ready知识时发revision事件，避免把新旧版本混成同一证据。</x:v>
      </x:c>
      <x:c r="D100" s="18" t="str">
        <x:v>1. 已实现的模块与契约
2. 对应验证记录</x:v>
      </x:c>
      <x:c r="E100" s="18" t="str">
        <x:v>1. 模拟旧视频更新与多日分页断层能识别并生成有界补采。
2. 不同版本知识证据可分别解析，不覆盖已引用旧revision。
3. 源不可达与永久删除区分；未确认删除不误删。</x:v>
      </x:c>
      <x:c r="F100" s="18" t="str">
        <x:v>针对该任务的契约或集成验证
关联用例：AC04 AC11</x:v>
      </x:c>
      <x:c r="G100" s="18" t="str">
        <x:v>现有修改
services/loom-engine/flow/engine.ts
拟新增或生成
services/loom-engine/flow/video/coverage-reconcile.ts</x:v>
      </x:c>
      <x:c r="H100" s="18" t="str">
        <x:v>协作接口：K:文档/证据失效及版本传播</x:v>
      </x:c>
      <x:c r="I100" s="18" t="str">
        <x:v>S02 S15</x:v>
      </x:c>
    </x:row>
    <x:row r="101" ht="85.5999984741211" hidden="0" customHeight="1">
      <x:c r="A101" s="16" t="str">
        <x:v>QA-002</x:v>
      </x:c>
      <x:c r="B101" s="16" t="str">
        <x:v>接通Skill源控发布和历史版本保留</x:v>
      </x:c>
      <x:c r="C101" s="16" t="str">
        <x:v>1. 把候选包纳入现有嵌入JSON构建、导出检查和部署流程，关联release receipt；新部署保留旧id/version/hash可加载。</x:v>
      </x:c>
      <x:c r="D101" s="16" t="str">
        <x:v>1. CI发布检查
2. 版本保留与回滚记录</x:v>
      </x:c>
      <x:c r="E101" s="16" t="str">
        <x:v>1. 批准不自动上线；部署后旧run仍能加载原版本，新run可pin新版；撤权的知识不能因回滚复活。</x:v>
      </x:c>
      <x:c r="F101" s="16" t="str">
        <x:v>固定夹具与实际环境验收，保存运行ID和结果
关联用例：AC24 AC26 AC27 AC28</x:v>
      </x:c>
      <x:c r="G101" s="16" t="str">
        <x:v>现有：沿用宿主公共能力
拟新增或生成
backend/internal/flow/skillpacks/video-knowledge-core.json
.github/workflows/&lt;existing-release-workflow&gt;
docs/video-knowledge/skill-release-runbook.md</x:v>
      </x:c>
      <x:c r="H101" s="16" t="str"/>
      <x:c r="I101" s="16" t="str">
        <x:v>S01 S02 S06 S10 S12 S13 S15</x:v>
      </x:c>
    </x:row>
    <x:row r="102" ht="98.19999694824219" hidden="0" customHeight="1">
      <x:c r="A102" s="18" t="str">
        <x:v>COL-031</x:v>
      </x:c>
      <x:c r="B102" s="18" t="str">
        <x:v>完整V1容量基线与上游升级门禁</x:v>
      </x:c>
      <x:c r="C102" s="18" t="str">
        <x:v>1. 以明确CPU/RAM/磁盘、并发、视频分钟数和model配置测定容量；SLO只在实测后冻结。
2. 建议先测短提交P95、队列等待、每视频分钟处理耗时、最大内存、ready延迟和成本，不预设对所有平台成功率保证。
3. 上游DTK升级先契约fixture→测试实例→小范围授权样本→灰度；schema drift阻断而非自动接受。
4. 与K视觉/Skill候选评测和IF全流程联测组成完整V1验收。</x:v>
      </x:c>
      <x:c r="D102" s="18" t="str">
        <x:v>1. 已实现的模块与契约
2. 对应验证记录</x:v>
      </x:c>
      <x:c r="E102" s="18" t="str">
        <x:v>1. 发布记录注明瓶颈与可用并发；超过资源水位触发背压而不是OOM。
2. 升级失败可回到已锁定provider版本且保留job映射。
3. 只有P0+P1全组验收完成才标完整V1。</x:v>
      </x:c>
      <x:c r="F102" s="18" t="str">
        <x:v>针对该任务的契约或集成验证
关联用例：AC22 AC24 AC27 AC29</x:v>
      </x:c>
      <x:c r="G102" s="18" t="str">
        <x:v>现有修改
services/loom-engine/scripts/collection-load-check.mjs
拟新增或生成
services/loom-engine/validation/video-ingestion/capacity.mjs
docs/video-ingestion/V1-RELEASE-GATE.md</x:v>
      </x:c>
      <x:c r="H102" s="18" t="str">
        <x:v>协作接口：K:P1视觉、Skill候选与评测完成；IF:P1完整用户流程完成</x:v>
      </x:c>
      <x:c r="I102" s="18" t="str">
        <x:v>S01 S02 S03 S13 S15 S18</x:v>
      </x:c>
    </x:row>
    <x:row r="103" ht="98.19999694824219" hidden="0" customHeight="1">
      <x:c r="A103" s="16" t="str">
        <x:v>IF-030</x:v>
      </x:c>
      <x:c r="B103" s="16" t="str">
        <x:v>交付宿主接入运维、升级与兼容文档</x:v>
      </x:c>
      <x:c r="C103" s="16" t="str">
        <x:v>1. 形成与现有Compose/配置/数据库升级流程一致的部署和恢复runbook；说明MCP连接批准、Skill源控发布、API兼容、上游变更与故障诊断。</x:v>
      </x:c>
      <x:c r="D103" s="16" t="str">
        <x:v>1. 接入指南
2. 部署回滚手册
3. V1兼容与验收说明</x:v>
      </x:c>
      <x:c r="E103" s="16" t="str">
        <x:v>1. 新环境按文档可完成服务部署、连接批准、授权来源、试采集及Skill安装。
2. 回滚不破坏进行中的job、既有artifact或已pin Skill，兼容版本矩阵明确。
3. 给出超时/鉴权/平台限流/import失败/索引未ready/重复事件的诊断步骤。
4. V1验收有残余限制与责任人，不把尚未实测平台成功率写成保证。</x:v>
      </x:c>
      <x:c r="F103" s="16" t="str">
        <x:v>针对该任务的契约或集成验证
关联用例：AC24 AC28</x:v>
      </x:c>
      <x:c r="G103" s="16" t="str">
        <x:v>现有修改
industry-packs/README.md
services/loom-engine/flow/server.ts
拟新增或生成
docs/video-knowledge/operations.md
docs/video-knowledge/integration-guide.md</x:v>
      </x:c>
      <x:c r="H103" s="16" t="str">
        <x:v>协作接口：COL-025；COL-028；COL-031；K-031</x:v>
      </x:c>
      <x:c r="I103" s="16" t="str">
        <x:v>S01 S02 S10 S13 S15</x:v>
      </x:c>
    </x:row>
    <x:row r="104" ht="85.5999984741211" hidden="0" customHeight="1">
      <x:c r="A104" s="18" t="str">
        <x:v>K-031</x:v>
      </x:c>
      <x:c r="B104" s="18" t="str">
        <x:v>知识质量、覆盖与处理成本可观测性</x:v>
      </x:c>
      <x:c r="C104" s="18" t="str">
        <x:v>1. 在现有运行/用量体系上记录知识专属指标：分支覆盖、引用支持、审阅修订、来源独立性、失败恢复及每媒体分钟成本。</x:v>
      </x:c>
      <x:c r="D104" s="18" t="str">
        <x:v>1. 质量指标事件
2. 审阅统计读模型
3. 基线校准报告</x:v>
      </x:c>
      <x:c r="E104" s="18" t="str">
        <x:v>1. 任务成功率不替代内容完整率；音频、画面和知识审核覆盖分别显示
2. 费用归因到profile/模型/媒体版本，重用产物标cache hit
3. 输出建议基线与样本分布，不编造精度承诺</x:v>
      </x:c>
      <x:c r="F104" s="18" t="str">
        <x:v>针对该任务的契约或集成验证
关联用例：AC22 AC27 AC29</x:v>
      </x:c>
      <x:c r="G104" s="18" t="str">
        <x:v>现有修改
services/loom-engine/flow/metrics.ts
backend/internal/flow/metrics.go
拟新增或生成
services/loom-engine/flow/knowledge/quality-metrics.ts</x:v>
      </x:c>
      <x:c r="H104" s="18" t="str">
        <x:v>协作接口：接口组运行详情/质量统计UI</x:v>
      </x:c>
      <x:c r="I104" s="18" t="str">
        <x:v>S01 S02 S03 S18</x:v>
      </x:c>
    </x:row>
    <x:row r="105" ht="110.80000305175781" hidden="0" customHeight="1">
      <x:c r="A105" s="16" t="str">
        <x:v>IF-028</x:v>
      </x:c>
      <x:c r="B105" s="16" t="str">
        <x:v>完成跨入口端到端与Canvas集成验收</x:v>
      </x:c>
      <x:c r="C105" s="16" t="str">
        <x:v>1. 以授权真实样本贯通来源→唯一job→媒体→知识ready→原生Skill→候选复核→已发布知识与Skill版本安装；复用已有Canvas节点与运行机制。</x:v>
      </x:c>
      <x:c r="D105" s="16" t="str">
        <x:v>1. V1端到端报告
2. Canvas集成用例
3. 发布阻断清单</x:v>
      </x:c>
      <x:c r="E105" s="16" t="str">
        <x:v>1. B站与抖音各覆盖字幕/无字幕/长视频/视觉必需样本，记录外部平台限制。
2. ready前不能启动需完整知识的自动Canvas；事件重放不重复批次运行。
3. 画布输出真实宿主引用，pin的Skill/知识/输入hash可复现。
4. 采用已有data source/managed Skill/report节点；不额外创建长期运行的MCP轮询节点或第二份工作流状态。</x:v>
      </x:c>
      <x:c r="F105" s="16" t="str">
        <x:v>固定夹具与实际环境验收，保存运行ID和结果
关联用例：AC03 AC05 AC10 AC18 AC20 AC25 AC26 AC27 AC29</x:v>
      </x:c>
      <x:c r="G105" s="16" t="str">
        <x:v>现有修改
backend/internal/flow/canvas_workflow_skill.go
backend/internal/flow/canvas_workflow_sources.go
backend/internal/flow/canvas_auto_run.go
web/src/pages/intelligence/canvas-handoff-modal.tsx
拟新增或生成
tests/video-knowledge/e2e/</x:v>
      </x:c>
      <x:c r="H105" s="16" t="str">
        <x:v>协作接口：COL-023；COL-027；K-030</x:v>
      </x:c>
      <x:c r="I105" s="16" t="str">
        <x:v>S01 S03 S04 S06 S07 S08 S11 S12 S13 S14 S17 S18</x:v>
      </x:c>
    </x:row>
    <x:row r="106" ht="76" hidden="0" customHeight="1">
      <x:c r="A106" s="18" t="str">
        <x:v>QA-003</x:v>
      </x:c>
      <x:c r="B106" s="18" t="str">
        <x:v>完成完整首版试点和发布验收</x:v>
      </x:c>
      <x:c r="C106" s="18" t="str">
        <x:v>1. 执行P0与P1全部验收；按M0冻结周期持续试点，默认建议7天；对比原宿主、加入知识与启用候选Skill的结果；整理偏差与上线决定。</x:v>
      </x:c>
      <x:c r="D106" s="18" t="str">
        <x:v>1. 完整V1验收报告
2. 试点数据与签收记录</x:v>
      </x:c>
      <x:c r="E106" s="18" t="str">
        <x:v>1. 证据、隔离、重复发布和数据损坏等关键问题无未关闭项；指标有样本和配置版本；所有上线任务及用例关闭。</x:v>
      </x:c>
      <x:c r="F106" s="18" t="str">
        <x:v>固定夹具与实际环境验收，保存运行ID和结果
关联用例：AC03 AC10 AC15 AC22 AC24 AC26 AC27 AC28 AC29</x:v>
      </x:c>
      <x:c r="G106" s="18" t="str">
        <x:v>现有：沿用宿主公共能力
拟新增或生成
docs/video-knowledge/v1-acceptance.md
tests/video-knowledge/e2e/v1/</x:v>
      </x:c>
      <x:c r="H106" s="18" t="str"/>
      <x:c r="I106" s="18" t="str">
        <x:v>S01 S02 S03 S04 S06 S08 S10 S12 S13 S14 S18</x:v>
      </x:c>
    </x:row>
    <x:row r="107" ht="85.5999984741211" hidden="0" customHeight="1">
      <x:c r="A107" s="16" t="str">
        <x:v>COL-032</x:v>
      </x:c>
      <x:c r="B107" s="16" t="str">
        <x:v>扩展TikTok、合集与受控历史回填</x:v>
      </x:c>
      <x:c r="C107" s="16" t="str">
        <x:v>1. 通过同一adapter接口扩展TikTok与合集/课程，不在P0承诺全部平台。
2. 历史回填设显式时间范围、最大视频数、预算和暂停恢复checkpoint。
3. 多合集引用同一视频保留membership，下载asset可授权复用但知识归属不串scope。</x:v>
      </x:c>
      <x:c r="D107" s="16" t="str">
        <x:v>1. 已实现的模块与契约
2. 对应验证记录</x:v>
      </x:c>
      <x:c r="E107" s="16" t="str">
        <x:v>1. 新增平台通过同一契约/故障注入集合后才开放。
2. 回填中断恢复不覆盖日常增量cursor。
3. 扩展关闭时不影响B站/抖音现有作业。</x:v>
      </x:c>
      <x:c r="F107" s="16" t="str">
        <x:v>针对该任务的契约或集成验证
关联用例：AC30</x:v>
      </x:c>
      <x:c r="G107" s="16" t="str">
        <x:v>现有修改
services/loom-engine/flow/engine.ts
services/loom-engine/flow/connectors.ts
拟新增或生成
services/loom-engine/flow/video/providers/extensions.ts</x:v>
      </x:c>
      <x:c r="H107" s="16" t="str"/>
      <x:c r="I107" s="16" t="str">
        <x:v>S06 S15</x:v>
      </x:c>
    </x:row>
    <x:row r="108" ht="85.5999984741211" hidden="0" customHeight="1">
      <x:c r="A108" s="18" t="str">
        <x:v>COL-033</x:v>
      </x:c>
      <x:c r="B108" s="18" t="str">
        <x:v>大文件分段传输与容量扩展</x:v>
      </x:c>
      <x:c r="C108" s="18" t="str">
        <x:v>1. 按需求增加multipart/resume与校验、独立下载/提炼队列容量和优先级，优先复用对象存储机制。
2. 长视频分段媒体manifest与原始时间轴的映射须稳定，由K组处理片段理解。
3. 仅在P1基线显示实际瓶颈后实施，避免预先引入新的消息平台。</x:v>
      </x:c>
      <x:c r="D108" s="18" t="str">
        <x:v>1. 已实现的模块与契约
2. 对应验证记录</x:v>
      </x:c>
      <x:c r="E108" s="18" t="str">
        <x:v>1. 网络中断恢复只续传可校验分片，整体hash与一次性传输一致。
2. 容量扩展不破坏lease/fencing、预算和scope隔离。
3. 短视频任务不会被单个长视频永久阻塞。</x:v>
      </x:c>
      <x:c r="F108" s="18" t="str">
        <x:v>针对该任务的契约或集成验证
关联用例：AC30</x:v>
      </x:c>
      <x:c r="G108" s="18" t="str">
        <x:v>现有修改
services/loom-engine/flow/gaps9.ts
services/loom-engine/flow/main.ts
拟新增或生成
services/loom-engine/flow/video/resumable-transfer.ts</x:v>
      </x:c>
      <x:c r="H108" s="18" t="str">
        <x:v>协作接口：K:长视频分段与时间轴拼接契约</x:v>
      </x:c>
      <x:c r="I108" s="18" t="str">
        <x:v>S06 S15</x:v>
      </x:c>
    </x:row>
    <x:row r="109" ht="76" hidden="0" customHeight="1">
      <x:c r="A109" s="16" t="str">
        <x:v>EXT-001</x:v>
      </x:c>
      <x:c r="B109" s="16" t="str">
        <x:v>实现基于宿主API的受控运维CLI</x:v>
      </x:c>
      <x:c r="C109" s="16" t="str">
        <x:v>1. 可选提供source、job、status、reconcile、replay和export命令；复用宿主鉴权与幂等，限制读写scope，不直接接生产数据库。</x:v>
      </x:c>
      <x:c r="D109" s="16" t="str">
        <x:v>1. CLI及使用说明</x:v>
      </x:c>
      <x:c r="E109" s="16" t="str">
        <x:v>1. 与宿主同操作获得同一任务及状态；未知结果重放需明确核对路径；受限凭据无法越权。</x:v>
      </x:c>
      <x:c r="F109" s="16" t="str">
        <x:v>针对该任务的契约或集成验证
关联用例：AC30</x:v>
      </x:c>
      <x:c r="G109" s="16" t="str">
        <x:v>现有：沿用宿主公共能力
拟新增或生成
tools/video-knowledge-cli/</x:v>
      </x:c>
      <x:c r="H109" s="16" t="str"/>
      <x:c r="I109" s="16" t="str">
        <x:v>S01 S15</x:v>
      </x:c>
    </x:row>
    <x:row r="110" ht="110.80000305175781" hidden="0" customHeight="1">
      <x:c r="A110" s="18" t="str">
        <x:v>IF-016</x:v>
      </x:c>
      <x:c r="B110" s="18" t="str">
        <x:v>提供通用SKILL.md宿主操作配方</x:v>
      </x:c>
      <x:c r="C110" s="18" t="str">
        <x:v>1. 制作可选画布操作说明：选择授权来源、调用实际连接工具、短提交/查询、读取正式宿主证据与错误处理；明确其不是Intel原生Skill或脚本运行环境。</x:v>
      </x:c>
      <x:c r="D110" s="18" t="str">
        <x:v>1. 可选操作配方
2. 安装与边界说明</x:v>
      </x:c>
      <x:c r="E110" s="18" t="str">
        <x:v>1. 通过现有/api/skills导入后可被支持的画布Agent读取。
2. 包内不包含秘密、下载器二进制或必须执行的Python脚本；运行能力来自已批准MCP。
3. 文档明确通用Skill导入不创建来源/定时器，不自动出现在intel_load_skill目录。
4. 以一次授权样本演示recipe与原生Skill不同职责。</x:v>
      </x:c>
      <x:c r="F110" s="18" t="str">
        <x:v>针对该任务的契约或集成验证
关联用例：AC30</x:v>
      </x:c>
      <x:c r="G110" s="18" t="str">
        <x:v>现有修改
backend/internal/handler/skills.go
backend/internal/skills/skill_packages.go
backend/internal/app/cloud_agent_tools_skills.go
web/src/services/skill-runtime.ts
拟新增或生成
docs/video-knowledge/host-recipe/SKILL.md</x:v>
      </x:c>
      <x:c r="H110" s="18" t="str"/>
      <x:c r="I110" s="18" t="str">
        <x:v>S06 S15</x:v>
      </x:c>
    </x:row>
    <x:row r="111" ht="98.19999694824219" hidden="0" customHeight="1">
      <x:c r="A111" s="16" t="str">
        <x:v>IF-031</x:v>
      </x:c>
      <x:c r="B111" s="16" t="str">
        <x:v>可选动态原生Skill注册与受控发布</x:v>
      </x:c>
      <x:c r="C111" s="16" t="str">
        <x:v>1. 评估并实现数据库/签名包驱动动态registry，替代必须重建嵌入pack的发布环节；保持版本hash、权限、评测和历史pin语义。</x:v>
      </x:c>
      <x:c r="D111" s="16" t="str">
        <x:v>1. P2 registry方案
2. 动态发布实现
3. 迁移与回滚评估</x:v>
      </x:c>
      <x:c r="E111" s="16" t="str">
        <x:v>1. 动态版与嵌入版命名冲突、信任来源和优先级规则明确定义。
2. 仅评测通过且批准的不可变版本可发布，回滚与历史run解析可用。
3. 多租户隔离、恶意包、签名/完整性与依赖漂移通过专项验收。
4. 未实施前V1文档保持源控发布事实。</x:v>
      </x:c>
      <x:c r="F111" s="16" t="str">
        <x:v>针对该任务的契约或集成验证
关联用例：AC30</x:v>
      </x:c>
      <x:c r="G111" s="16" t="str">
        <x:v>现有修改
backend/internal/flow/skills.go
backend/internal/flow/capability.go
拟新增或生成
backend/internal/flow/dynamic_skill_registry.go
docs/video-knowledge/dynamic-registry.md</x:v>
      </x:c>
      <x:c r="H111" s="16" t="str">
        <x:v>协作接口：K-028</x:v>
      </x:c>
      <x:c r="I111" s="16" t="str">
        <x:v>S06 S15</x:v>
      </x:c>
    </x:row>
    <x:row r="112" ht="110.80000305175781" hidden="0" customHeight="1">
      <x:c r="A112" s="18" t="str">
        <x:v>IF-032</x:v>
      </x:c>
      <x:c r="B112" s="18" t="str">
        <x:v>可选通用Skill与Intel运行桥及MCP互操作</x:v>
      </x:c>
      <x:c r="C112" s="18" t="str">
        <x:v>1. 在实际业务需要时把普通Skill读取能力桥接到受控Intel运行，明确与原生Skill目录的区别，并验证外部宿主MCP互操作。
2. CLI实现唯一归EXT-001，本任务仅提供能力映射、兼容性测试及接入说明。</x:v>
      </x:c>
      <x:c r="D112" s="18" t="str">
        <x:v>1. 受控运行桥
2. MCP互操作说明</x:v>
      </x:c>
      <x:c r="E112" s="18" t="str">
        <x:v>1. 通用Skill不会扩大工具或工作区权限，也不自动创建调度。
2. 外部调用仍使用正式宿主API及MCP的scope与幂等规则，不直接读写数据库。</x:v>
      </x:c>
      <x:c r="F112" s="18" t="str">
        <x:v>针对该任务的契约或集成验证
关联用例：AC30</x:v>
      </x:c>
      <x:c r="G112" s="18" t="str">
        <x:v>现有修改
backend/internal/skills/skill_packages.go
backend/internal/app/cloud_agent_flow.go
backend/internal/flow/skills.go
拟新增或生成
backend/internal/app/&lt;controlled-skill-bridge&gt;.go
docs/video-knowledge/mcp-interoperability.md</x:v>
      </x:c>
      <x:c r="H112" s="18" t="str"/>
      <x:c r="I112" s="18" t="str">
        <x:v>S06 S15</x:v>
      </x:c>
    </x:row>
    <x:row r="113" ht="98.19999694824219" hidden="0" customHeight="1">
      <x:c r="A113" s="16" t="str">
        <x:v>K-032</x:v>
      </x:c>
      <x:c r="B113" s="16" t="str">
        <x:v>按规模验证升级宿主语义检索与重排</x:v>
      </x:c>
      <x:c r="C113" s="16" t="str">
        <x:v>1. 根据实际文档量和召回基准替换当前REAL[]最多500候选的JS余弦路径，可在宿主内部采用pgvector/等价索引与重排，保持证据接口。</x:v>
      </x:c>
      <x:c r="D113" s="16" t="str">
        <x:v>1. 规模压测/召回基准
2. 索引迁移方案
3. 可回滚检索实现</x:v>
      </x:c>
      <x:c r="E113" s="16" t="str">
        <x:v>1. 跨租户过滤在召回前有效；结果仍保留文档revision/evidence定位
2. 对比现有FTS/混合基线证明目标规模收益；阈值实测确定
3. 不建立平行BiliNote Chroma主知识库，旧接口与引用兼容</x:v>
      </x:c>
      <x:c r="F113" s="16" t="str">
        <x:v>针对该任务的契约或集成验证
关联用例：AC30</x:v>
      </x:c>
      <x:c r="G113" s="16" t="str">
        <x:v>现有修改
services/loom-engine/flow/engine.ts
services/loom-engine/flow/gaps9.ts
services/loom-engine/flow/migrations/0016_gaps9.sql
拟新增或生成
services/loom-engine/flow/search/vector-index.ts</x:v>
      </x:c>
      <x:c r="H113" s="16" t="str"/>
      <x:c r="I113" s="16" t="str">
        <x:v>S06 S15</x:v>
      </x:c>
    </x:row>
    <x:row r="114" ht="24" customHeight="1">
      <x:c r="A114" s="2"/>
      <x:c r="B114" s="2"/>
      <x:c r="C114" s="2"/>
      <x:c r="D114" s="2"/>
      <x:c r="E114" s="2"/>
      <x:c r="F114" s="2"/>
      <x:c r="G114" s="2"/>
      <x:c r="H114" s="2"/>
      <x:c r="I114" s="2"/>
    </x:row>
    <x:row r="115" ht="24" customHeight="1">
      <x:c r="A115" s="2"/>
      <x:c r="B115" s="2"/>
      <x:c r="C115" s="2"/>
      <x:c r="D115" s="2"/>
      <x:c r="E115" s="2"/>
      <x:c r="F115" s="2"/>
      <x:c r="G115" s="2"/>
      <x:c r="H115" s="2"/>
      <x:c r="I115" s="2"/>
    </x:row>
  </x:sheetData>
  <x:pageMargins left="0.7" right="0.7" top="0.75" bottom="0.75" header="0.3" footer="0.3"/>
  <x:tableParts count="1">
    <x:tablePart xmlns:r="http://schemas.openxmlformats.org/officeDocument/2006/relationships" r:id="Re8c2310abae646c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30" hidden="0" customWidth="1"/>
    <x:col min="3" max="3" width="10" hidden="0" customWidth="1"/>
    <x:col min="4" max="4" width="84" hidden="0" customWidth="1"/>
    <x:col min="5" max="5" width="84" hidden="0" customWidth="1"/>
    <x:col min="6" max="6" width="68" hidden="0" customWidth="1"/>
    <x:col min="7" max="7" width="35" hidden="0" customWidth="1"/>
    <x:col min="8" max="8" width="2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31" customHeight="1">
      <x:c r="A2" s="3" t="str">
        <x:v>PRD需求和验收映射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 t="str">
        <x:v>需求编号与PRD一致。关联任务是范围追踪；P0验收不要求提前实现P1扩展。来源编号在基线与约定中。</x:v>
      </x:c>
      <x:c r="B3" s="2"/>
      <x:c r="C3" s="2"/>
      <x:c r="D3" s="2"/>
      <x:c r="E3" s="2"/>
      <x:c r="F3" s="2"/>
      <x:c r="G3" s="2"/>
      <x:c r="H3" s="2"/>
    </x:row>
    <x:row r="4" ht="8" customHeight="1">
      <x:c r="A4" s="5"/>
      <x:c r="B4" s="5"/>
      <x:c r="C4" s="5"/>
      <x:c r="D4" s="5"/>
      <x:c r="E4" s="5"/>
      <x:c r="F4" s="5"/>
      <x:c r="G4" s="5"/>
      <x:c r="H4" s="5"/>
    </x:row>
    <x:row r="5" ht="24" customHeight="1">
      <x:c r="A5" s="2"/>
      <x:c r="B5" s="2"/>
      <x:c r="C5" s="2"/>
      <x:c r="D5" s="2"/>
      <x:c r="E5" s="2"/>
      <x:c r="F5" s="2"/>
      <x:c r="G5" s="2"/>
      <x:c r="H5" s="2"/>
    </x:row>
    <x:row r="6" ht="34" customHeight="1">
      <x:c r="A6" s="10" t="str">
        <x:v>需求ID</x:v>
      </x:c>
      <x:c r="B6" s="11" t="str">
        <x:v>需求</x:v>
      </x:c>
      <x:c r="C6" s="11" t="str">
        <x:v>阶段</x:v>
      </x:c>
      <x:c r="D6" s="11" t="str">
        <x:v>功能规格</x:v>
      </x:c>
      <x:c r="E6" s="11" t="str">
        <x:v>验收要求</x:v>
      </x:c>
      <x:c r="F6" s="11" t="str">
        <x:v>关联任务ID</x:v>
      </x:c>
      <x:c r="G6" s="11" t="str">
        <x:v>关联验收用例</x:v>
      </x:c>
      <x:c r="H6" s="12" t="str">
        <x:v>依据编号</x:v>
      </x:c>
    </x:row>
    <x:row r="7" ht="76" hidden="0" customHeight="1">
      <x:c r="A7" s="16" t="str">
        <x:v>R01</x:v>
      </x:c>
      <x:c r="B7" s="16" t="str">
        <x:v>行业知识域配置</x:v>
      </x:c>
      <x:c r="C7" s="16" t="str">
        <x:v>P0</x:v>
      </x:c>
      <x:c r="D7" s="16" t="str">
        <x:v>在 workspace 内配置领域名称、问题范围、术语及同义词、包含与排除主题、来源规则、知识类型、复核人、处理预算和保留策略。所有运行冻结 profile 版本。</x:v>
      </x:c>
      <x:c r="E7" s="16" t="str">
        <x:v>同一视频按两个领域运行得到独立归类与可追溯的 profile_version，修改配置不改变历史结果。</x:v>
      </x:c>
      <x:c r="F7" s="16" t="str">
        <x:v>K-021, K-027, IF-017, FND-001, CFG-001</x:v>
      </x:c>
      <x:c r="G7" s="16" t="str"/>
      <x:c r="H7" s="16" t="str">
        <x:v>S01 S06</x:v>
      </x:c>
    </x:row>
    <x:row r="8" ht="76" hidden="0" customHeight="1">
      <x:c r="A8" s="18" t="str">
        <x:v>R02</x:v>
      </x:c>
      <x:c r="B8" s="18" t="str">
        <x:v>视频来源管理</x:v>
      </x:c>
      <x:c r="C8" s="18" t="str">
        <x:v>P0</x:v>
      </x:c>
      <x:c r="D8" s="18" t="str">
        <x:v>首版支持 B站和抖音的单视频链接及指定账号增量订阅；展示连接状态、最近成功时间、凭据引用、处理模式及失败原因。合集等扩展能力单独列出。</x:v>
      </x:c>
      <x:c r="E8" s="18" t="str">
        <x:v>两个平台分别完成一次手工提交和两轮账号增量发现；无凭据的受限资源显示需授权。</x:v>
      </x:c>
      <x:c r="F8" s="18" t="str">
        <x:v>COL-002, COL-003, COL-004, COL-005, COL-007, COL-008, IF-017, FND-005, QA-001</x:v>
      </x:c>
      <x:c r="G8" s="18" t="str">
        <x:v>AC01 AC02 AC21</x:v>
      </x:c>
      <x:c r="H8" s="18" t="str">
        <x:v>S02 S10 S15</x:v>
      </x:c>
    </x:row>
    <x:row r="9" ht="76" hidden="0" customHeight="1">
      <x:c r="A9" s="16" t="str">
        <x:v>R03</x:v>
      </x:c>
      <x:c r="B9" s="16" t="str">
        <x:v>持续调度</x:v>
      </x:c>
      <x:c r="C9" s="16" t="str">
        <x:v>P0</x:v>
      </x:c>
      <x:c r="D9" s="16" t="str">
        <x:v>复用 Loom 的 interval 或 cron、时区和授权链。一次配置后后台运行，支持暂停、恢复、立即运行和有界补采。</x:v>
      </x:c>
      <x:c r="E9" s="16" t="str">
        <x:v>关闭聊天和浏览器后跨两个调度窗口仍执行；重启和错过窗口不导致重复发布或无界补跑。</x:v>
      </x:c>
      <x:c r="F9" s="16" t="str">
        <x:v>COL-011, COL-023, COL-028, IF-017, QA-001, QA-003</x:v>
      </x:c>
      <x:c r="G9" s="16" t="str">
        <x:v>AC03 AC29</x:v>
      </x:c>
      <x:c r="H9" s="16" t="str">
        <x:v>S02 S08</x:v>
      </x:c>
    </x:row>
    <x:row r="10" ht="76" hidden="0" customHeight="1">
      <x:c r="A10" s="18" t="str">
        <x:v>R04</x:v>
      </x:c>
      <x:c r="B10" s="18" t="str">
        <x:v>增量发现与游标</x:v>
      </x:c>
      <x:c r="C10" s="18" t="str">
        <x:v>P0</x:v>
      </x:c>
      <x:c r="D10" s="18" t="str">
        <x:v>按平台原生 ID 和分P识别视频；区分稳定watermark、分页checkpoint和处理进度。每页清单与任务原子保存；仅完成扫描至旧边界或穷尽结果时推进watermark。</x:v>
      </x:c>
      <x:c r="E10" s="18" t="str">
        <x:v>分页中断、重复页、页上限和乱序发布均保留partial与checkpoint；不能把未完整扫描当成已追平，重复条目不产生重复文档。</x:v>
      </x:c>
      <x:c r="F10" s="18" t="str">
        <x:v>COL-002, COL-007, COL-009, COL-010, COL-026, COL-030</x:v>
      </x:c>
      <x:c r="G10" s="18" t="str">
        <x:v>AC04</x:v>
      </x:c>
      <x:c r="H10" s="18" t="str">
        <x:v>S02 S15</x:v>
      </x:c>
    </x:row>
    <x:row r="11" ht="76" hidden="0" customHeight="1">
      <x:c r="A11" s="16" t="str">
        <x:v>R05</x:v>
      </x:c>
      <x:c r="B11" s="16" t="str">
        <x:v>统一异步任务</x:v>
      </x:c>
      <x:c r="C11" s="16" t="str">
        <x:v>P0</x:v>
      </x:c>
      <x:c r="D11" s="16" t="str">
        <x:v>手动、定时、MCP 三种入口进入同一宿主 operation 和 video_job；使用内容及处理版本指纹、租约、心跳和幂等映射。</x:v>
      </x:c>
      <x:c r="E11" s="16" t="str">
        <x:v>相同 scope、视频、内容版本和配置重放返回同一活动任务；同一幂等键不同参数返回冲突。</x:v>
      </x:c>
      <x:c r="F11" s="16" t="str">
        <x:v>COL-003, COL-008, COL-010, COL-012, COL-013, COL-014, COL-017, COL-026, K-019, IF-002, IF-007, IF-013, FND-002</x:v>
      </x:c>
      <x:c r="G11" s="16" t="str">
        <x:v>AC05 AC06</x:v>
      </x:c>
      <x:c r="H11" s="16" t="str">
        <x:v>S02 S03</x:v>
      </x:c>
    </x:row>
    <x:row r="12" ht="76" hidden="0" customHeight="1">
      <x:c r="A12" s="18" t="str">
        <x:v>R06</x:v>
      </x:c>
      <x:c r="B12" s="18" t="str">
        <x:v>媒体获取与下载</x:v>
      </x:c>
      <x:c r="C12" s="18" t="str">
        <x:v>P0</x:v>
      </x:c>
      <x:c r="D12" s="18" t="str">
        <x:v>通过 DTK 适配器获取平台元信息和媒体；支持字幕优先、音频、完整视频三种策略。对象进入宿主受控存储，记录哈希、时长、大小和来源。</x:v>
      </x:c>
      <x:c r="E12" s="18" t="str">
        <x:v>已授权视频可下载并校验哈希；短链归一化；禁止把临时下载链接当永久证据地址。</x:v>
      </x:c>
      <x:c r="F12" s="18" t="str">
        <x:v>COL-002, COL-006, COL-015, COL-016, COL-021, FND-005</x:v>
      </x:c>
      <x:c r="G12" s="18" t="str">
        <x:v>AC01 AC02</x:v>
      </x:c>
      <x:c r="H12" s="18" t="str">
        <x:v>S15 S16</x:v>
      </x:c>
    </x:row>
    <x:row r="13" ht="76" hidden="0" customHeight="1">
      <x:c r="A13" s="16" t="str">
        <x:v>R07</x:v>
      </x:c>
      <x:c r="B13" s="16" t="str">
        <x:v>字幕与语音转写</x:v>
      </x:c>
      <x:c r="C13" s="16" t="str">
        <x:v>P0</x:v>
      </x:c>
      <x:c r="D13" s="16" t="str">
        <x:v>优先保留可用时间轴字幕，缺失或低质量时调用宿主 ASR；记录语言、来源、分段起止时间、原始文本及术语修订。</x:v>
      </x:c>
      <x:c r="E13" s="16" t="str">
        <x:v>无字幕中文视频可生成时间轴文本；人工修订生成新版本；不伪造未返回的说话人或时间戳。</x:v>
      </x:c>
      <x:c r="F13" s="16" t="str">
        <x:v>K-001, K-004, K-005, K-006, K-009, FND-005</x:v>
      </x:c>
      <x:c r="G13" s="16" t="str">
        <x:v>AC01 AC08</x:v>
      </x:c>
      <x:c r="H13" s="16" t="str">
        <x:v>S04 S05</x:v>
      </x:c>
    </x:row>
    <x:row r="14" ht="76" hidden="0" customHeight="1">
      <x:c r="A14" s="18" t="str">
        <x:v>R08</x:v>
      </x:c>
      <x:c r="B14" s="18" t="str">
        <x:v>长视频完整性</x:v>
      </x:c>
      <x:c r="C14" s="18" t="str">
        <x:v>P0</x:v>
      </x:c>
      <x:c r="D14" s="18" t="str">
        <x:v>按可配置时长与字节限制分段处理，保存完整性清单和断点；显式返回缺口、超限、取消和覆盖范围。</x:v>
      </x:c>
      <x:c r="E14" s="18" t="str">
        <x:v>超过原有 2000 segments 或长文本边界的样本不静默截断；缺失必需片段不能进入完整就绪态。</x:v>
      </x:c>
      <x:c r="F14" s="18" t="str">
        <x:v>K-001, K-003, K-006, K-007, IF-022</x:v>
      </x:c>
      <x:c r="G14" s="18" t="str">
        <x:v>AC09</x:v>
      </x:c>
      <x:c r="H14" s="18" t="str">
        <x:v>S05</x:v>
      </x:c>
    </x:row>
    <x:row r="15" ht="76" hidden="0" customHeight="1">
      <x:c r="A15" s="16" t="str">
        <x:v>R09</x:v>
      </x:c>
      <x:c r="B15" s="16" t="str">
        <x:v>画面内容理解</x:v>
      </x:c>
      <x:c r="C15" s="16" t="str">
        <x:v>P1</x:v>
      </x:c>
      <x:c r="D15" s="16" t="str">
        <x:v>复用 BiliNote 抽帧思路与宿主 OCR，按场景变化抽帧并设置上限，必要时经宿主 Model Gateway 调用视觉模型。区分画面观察与模型推断。</x:v>
      </x:c>
      <x:c r="E15" s="16" t="str">
        <x:v>PPT、图表、工序演示和静音样本可返回带帧时间的证据；未分析区间和抽样策略可见。</x:v>
      </x:c>
      <x:c r="F15" s="16" t="str">
        <x:v>K-001, K-010, K-011, K-012, K-013, K-014, K-015, IF-024, IF-028, QA-003</x:v>
      </x:c>
      <x:c r="G15" s="16" t="str">
        <x:v>AC10</x:v>
      </x:c>
      <x:c r="H15" s="16" t="str">
        <x:v>S04 S13 S14</x:v>
      </x:c>
    </x:row>
    <x:row r="16" ht="76" hidden="0" customHeight="1">
      <x:c r="A16" s="18" t="str">
        <x:v>R10</x:v>
      </x:c>
      <x:c r="B16" s="18" t="str">
        <x:v>来源修订与处理血缘</x:v>
      </x:c>
      <x:c r="C16" s="18" t="str">
        <x:v>P0</x:v>
      </x:c>
      <x:c r="D16" s="18" t="str">
        <x:v>保留 source revision、媒体哈希、字幕版本、处理器配置与派生文档关系；源标题更新不得覆盖已有转写。</x:v>
      </x:c>
      <x:c r="E16" s="18" t="str">
        <x:v>元信息重复采集后转写仍可检索；同媒体新模型产生派生新版本，旧引用仍可解析。</x:v>
      </x:c>
      <x:c r="F16" s="18" t="str">
        <x:v>COL-030, K-002, K-003, K-009, K-016, K-019</x:v>
      </x:c>
      <x:c r="G16" s="18" t="str">
        <x:v>AC11</x:v>
      </x:c>
      <x:c r="H16" s="18" t="str">
        <x:v>S02</x:v>
      </x:c>
    </x:row>
    <x:row r="17" ht="76" hidden="0" customHeight="1">
      <x:c r="A17" s="16" t="str">
        <x:v>R11</x:v>
      </x:c>
      <x:c r="B17" s="16" t="str">
        <x:v>可追溯证据</x:v>
      </x:c>
      <x:c r="C17" s="16" t="str">
        <x:v>P0</x:v>
      </x:c>
      <x:c r="D17" s="16" t="str">
        <x:v>在现有 evidence_id 和 revision 语义上补充毫秒区间、帧引用及 UTF-16 文本映射；来源 URL 和源文件分开保存。</x:v>
      </x:c>
      <x:c r="E17" s="16" t="str">
        <x:v>点击知识卡引用可定位原文和视频区间；中文、emoji、跨段引用及旧版本均正确。</x:v>
      </x:c>
      <x:c r="F17" s="16" t="str">
        <x:v>K-008, K-009, K-012, K-015, K-018, IF-014, IF-021, IF-024, FND-003</x:v>
      </x:c>
      <x:c r="G17" s="16" t="str">
        <x:v>AC01 AC02 AC08 AC10 AC12</x:v>
      </x:c>
      <x:c r="H17" s="16" t="str">
        <x:v>S02 S05</x:v>
      </x:c>
    </x:row>
    <x:row r="18" ht="76" hidden="0" customHeight="1">
      <x:c r="A18" s="18" t="str">
        <x:v>R12</x:v>
      </x:c>
      <x:c r="B18" s="18" t="str">
        <x:v>知识就绪屏障</x:v>
      </x:c>
      <x:c r="C18" s="18" t="str">
        <x:v>P0</x:v>
      </x:c>
      <x:c r="D18" s="18" t="str">
        <x:v>仅由 Loom 在受信导入、必需处理阶段完成、文档修订与证据映射可读、文本索引可用之后发出 video.knowledge_ready。</x:v>
      </x:c>
      <x:c r="E18" s="18" t="str">
        <x:v>元信息 collection.completed 不触发最终知识整理；重投 ready 事件只产生一次有效下游运行。</x:v>
      </x:c>
      <x:c r="F18" s="18" t="str">
        <x:v>COL-021, COL-022, COL-023, K-003, K-017, IF-003, IF-010, IF-011, IF-022, FND-002</x:v>
      </x:c>
      <x:c r="G18" s="18" t="str">
        <x:v>AC09 AC10 AC13</x:v>
      </x:c>
      <x:c r="H18" s="18" t="str">
        <x:v>S02 S07 S08</x:v>
      </x:c>
    </x:row>
    <x:row r="19" ht="76" hidden="0" customHeight="1">
      <x:c r="A19" s="16" t="str">
        <x:v>R13</x:v>
      </x:c>
      <x:c r="B19" s="16" t="str">
        <x:v>结构化行业知识</x:v>
      </x:c>
      <x:c r="C19" s="16" t="str">
        <x:v>P0</x:v>
      </x:c>
      <x:c r="D19" s="16" t="str">
        <x:v>将材料整理为概念、事实、步骤、案例、参数、约束及风险等知识卡。每条包含适用条件、来源证据、事实或推断标记和复核状态。</x:v>
      </x:c>
      <x:c r="E19" s="16" t="str">
        <x:v>无证据的事实不能发布；数值保留单位和条件；信息不足时输出缺失项，不补写答案。</x:v>
      </x:c>
      <x:c r="F19" s="16" t="str">
        <x:v>K-013, K-014, K-021, K-022, FND-003</x:v>
      </x:c>
      <x:c r="G19" s="16" t="str">
        <x:v>AC14</x:v>
      </x:c>
      <x:c r="H19" s="16" t="str">
        <x:v>S06 S07</x:v>
      </x:c>
    </x:row>
    <x:row r="20" ht="76" hidden="0" customHeight="1">
      <x:c r="A20" s="18" t="str">
        <x:v>R14</x:v>
      </x:c>
      <x:c r="B20" s="18" t="str">
        <x:v>相似知识与冲突</x:v>
      </x:c>
      <x:c r="C20" s="18" t="str">
        <x:v>P1</x:v>
      </x:c>
      <x:c r="D20" s="18" t="str">
        <x:v>识别重复内容、转载关系、同源断言与冲突观点；合并知识关系时保留每条证据和适用时间，避免把转载计为独立佐证。</x:v>
      </x:c>
      <x:c r="E20" s="18" t="str">
        <x:v>两个相互矛盾参数保留冲突及上下文；相同原始内容的跨平台转发不增加独立来源计数。</x:v>
      </x:c>
      <x:c r="F20" s="18" t="str">
        <x:v>K-015, K-020, K-029, QA-003</x:v>
      </x:c>
      <x:c r="G20" s="18" t="str">
        <x:v>AC15</x:v>
      </x:c>
      <x:c r="H20" s="18" t="str">
        <x:v>S02 S06</x:v>
      </x:c>
    </x:row>
    <x:row r="21" ht="76" hidden="0" customHeight="1">
      <x:c r="A21" s="16" t="str">
        <x:v>R15</x:v>
      </x:c>
      <x:c r="B21" s="16" t="str">
        <x:v>知识复核与发布</x:v>
      </x:c>
      <x:c r="C21" s="16" t="str">
        <x:v>P0</x:v>
      </x:c>
      <x:c r="D21" s="16" t="str">
        <x:v>候选知识经过复核形成approved版本，再由发布命令转为published；修改使旧批准失效。记录复核者、理由和版本，支持撤回、失效、替代及回滚。</x:v>
      </x:c>
      <x:c r="E21" s="16" t="str">
        <x:v>发布需要证据完整、有效批准和发布权限。普通行业知识工具默认仅使用有效published知识；研究工具按权限读取ready材料，不能无声回退未审核知识。</x:v>
      </x:c>
      <x:c r="F21" s="16" t="str">
        <x:v>K-023, K-024, K-029, IF-020, QA-001</x:v>
      </x:c>
      <x:c r="G21" s="16" t="str">
        <x:v>AC01 AC14 AC16</x:v>
      </x:c>
      <x:c r="H21" s="16" t="str">
        <x:v>S01 S06</x:v>
      </x:c>
    </x:row>
    <x:row r="22" ht="76" hidden="0" customHeight="1">
      <x:c r="A22" s="18" t="str">
        <x:v>R16</x:v>
      </x:c>
      <x:c r="B22" s="18" t="str">
        <x:v>宿主 Agent 复用</x:v>
      </x:c>
      <x:c r="C22" s="18" t="str">
        <x:v>P0</x:v>
      </x:c>
      <x:c r="D22" s="18" t="str">
        <x:v>通过现有文档检索、读取、证据解析和行业工作流消费知识；增加状态与领域过滤，复用现有全文检索及可选向量能力。</x:v>
      </x:c>
      <x:c r="E22" s="18" t="str">
        <x:v>Agent 能回答来源视频特有问题并引用相应 revision 与时间段；跨 workspace 检索零泄漏。</x:v>
      </x:c>
      <x:c r="F22" s="18" t="str">
        <x:v>K-018, K-024, IF-014, QA-001</x:v>
      </x:c>
      <x:c r="G22" s="18" t="str">
        <x:v>AC01 AC16 AC25</x:v>
      </x:c>
      <x:c r="H22" s="18" t="str">
        <x:v>S01 S02 S07</x:v>
      </x:c>
    </x:row>
    <x:row r="23" ht="76" hidden="0" customHeight="1">
      <x:c r="A23" s="16" t="str">
        <x:v>R17</x:v>
      </x:c>
      <x:c r="B23" s="16" t="str">
        <x:v>视频 MCP 接口</x:v>
      </x:c>
      <x:c r="C23" s="16" t="str">
        <x:v>P0</x:v>
      </x:c>
      <x:c r="D23" s="16" t="str">
        <x:v>提供有界发现、短提交、任务状态、结果清单读取、取消能力；数据正文分页，大文件通过受控对象引用传递。</x:v>
      </x:c>
      <x:c r="E23" s="16" t="str">
        <x:v>调用在宿主超时预算内返回 task handle；MCP 结果本身不伪称已进入知识库。</x:v>
      </x:c>
      <x:c r="F23" s="16" t="str">
        <x:v>COL-014, IF-001, IF-002, IF-003, IF-005, IF-006, IF-007, IF-008, IF-009, IF-012, IF-013, IF-019, IF-028, FND-002, FND-005, QA-001</x:v>
      </x:c>
      <x:c r="G23" s="16" t="str">
        <x:v>AC05 AC18</x:v>
      </x:c>
      <x:c r="H23" s="16" t="str">
        <x:v>S03 S07 S17</x:v>
      </x:c>
    </x:row>
    <x:row r="24" ht="76" hidden="0" customHeight="1">
      <x:c r="A24" s="18" t="str">
        <x:v>R18</x:v>
      </x:c>
      <x:c r="B24" s="18" t="str">
        <x:v>原生行业整理 Skill</x:v>
      </x:c>
      <x:c r="C24" s="18" t="str">
        <x:v>P0</x:v>
      </x:c>
      <x:c r="D24" s="18" t="str">
        <x:v>新增 Flow 行业 Skill，规定问题范围、筛选、证据核验、知识提取、冲突处理及输出 Schema；运行固定版本和工具权限。</x:v>
      </x:c>
      <x:c r="E24" s="18" t="str">
        <x:v>在宿主实际 intelligence 和 Canvas 执行路径验证加载；不依赖普通 SKILL.md 执行脚本。</x:v>
      </x:c>
      <x:c r="F24" s="18" t="str">
        <x:v>COL-023, K-026, IF-001, IF-015, IF-028, QA-001</x:v>
      </x:c>
      <x:c r="G24" s="18" t="str">
        <x:v>AC20 AC25</x:v>
      </x:c>
      <x:c r="H24" s="18" t="str">
        <x:v>S06 S11 S12</x:v>
      </x:c>
    </x:row>
    <x:row r="25" ht="76" hidden="0" customHeight="1">
      <x:c r="A25" s="16" t="str">
        <x:v>R19</x:v>
      </x:c>
      <x:c r="B25" s="16" t="str">
        <x:v>Skill 候选与版本发布</x:v>
      </x:c>
      <x:c r="C25" s="16" t="str">
        <x:v>P1</x:v>
      </x:c>
      <x:c r="D25" s="16" t="str">
        <x:v>经复核的方法论可生成 Skill 候选，冻结证据与基线，进行业务用例回归后批准，生成源控发布包并按现有构建部署安装流程生效。</x:v>
      </x:c>
      <x:c r="E25" s="16" t="str">
        <x:v>新旧版本可比较、评测和回滚；批准、部署、安装状态分离；普通新视频不自动改生产 Skill。</x:v>
      </x:c>
      <x:c r="F25" s="16" t="str">
        <x:v>K-028, IF-025, IF-026, IF-028, FND-003, QA-002, QA-003</x:v>
      </x:c>
      <x:c r="G25" s="16" t="str">
        <x:v>AC26 AC27</x:v>
      </x:c>
      <x:c r="H25" s="16" t="str">
        <x:v>S06 S12</x:v>
      </x:c>
    </x:row>
    <x:row r="26" ht="76" hidden="0" customHeight="1">
      <x:c r="A26" s="18" t="str">
        <x:v>R20</x:v>
      </x:c>
      <x:c r="B26" s="18" t="str">
        <x:v>宿主内嵌界面</x:v>
      </x:c>
      <x:c r="C26" s="18" t="str">
        <x:v>P0</x:v>
      </x:c>
      <x:c r="D26" s="18" t="str">
        <x:v>在原工作区增加视频源、任务进度、知识候选与证据查看入口，延用身份和交互；完整首版增加视觉证据与 Skill 发布视图。</x:v>
      </x:c>
      <x:c r="E26" s="18" t="str">
        <x:v>用户可在宿主完成配置、运行、定位失败、复核和引用，无需登录另一套笔记应用。</x:v>
      </x:c>
      <x:c r="F26" s="18" t="str">
        <x:v>COL-024, IF-011, IF-017, IF-018, IF-019, IF-020, IF-021, IF-022, IF-023, IF-024, IF-025, IF-026, IF-027, IF-028, QA-001</x:v>
      </x:c>
      <x:c r="G26" s="18" t="str">
        <x:v>AC03</x:v>
      </x:c>
      <x:c r="H26" s="18" t="str">
        <x:v>S01 S07 S08</x:v>
      </x:c>
    </x:row>
    <x:row r="27" ht="76" hidden="0" customHeight="1">
      <x:c r="A27" s="16" t="str">
        <x:v>R21</x:v>
      </x:c>
      <x:c r="B27" s="16" t="str">
        <x:v>权限与受信上下文</x:v>
      </x:c>
      <x:c r="C27" s="16" t="str">
        <x:v>P0</x:v>
      </x:c>
      <x:c r="D27" s="16" t="str">
        <x:v>tenant、workspace、actor、grant、source scope 来自服务身份和宿主授权上下文，不接受模型自报权限。执行和发布时重检授权。</x:v>
      </x:c>
      <x:c r="E27" s="16" t="str">
        <x:v>篡改任务ID、scope、对象路径或过期授权均失败；撤销来源后不再推进发布。</x:v>
      </x:c>
      <x:c r="F27" s="16" t="str">
        <x:v>COL-003, COL-005, COL-011, COL-016, K-002, IF-004, IF-010, IF-012, IF-023, IF-029, FND-002, CFG-001</x:v>
      </x:c>
      <x:c r="G27" s="16" t="str">
        <x:v>AC17</x:v>
      </x:c>
      <x:c r="H27" s="16" t="str">
        <x:v>S01 S03 S09</x:v>
      </x:c>
    </x:row>
    <x:row r="28" ht="76" hidden="0" customHeight="1">
      <x:c r="A28" s="18" t="str">
        <x:v>R22</x:v>
      </x:c>
      <x:c r="B28" s="18" t="str">
        <x:v>连接及内容隔离</x:v>
      </x:c>
      <x:c r="C28" s="18" t="str">
        <x:v>P0</x:v>
      </x:c>
      <x:c r="D28" s="18" t="str">
        <x:v>内网 MCP 采用显式服务白名单与独立传输策略；视频文字只作为材料。控制重定向、域名解析、日志秘密和不可信文件类型。</x:v>
      </x:c>
      <x:c r="E28" s="18" t="str">
        <x:v>不能借视频链接访问元数据或任意私网；注入型字幕不会改变系统指令或执行未批准工具。</x:v>
      </x:c>
      <x:c r="F28" s="18" t="str">
        <x:v>COL-006, COL-015, COL-026, K-010, IF-008, IF-019, IF-029</x:v>
      </x:c>
      <x:c r="G28" s="18" t="str">
        <x:v>AC19 AC20</x:v>
      </x:c>
      <x:c r="H28" s="18" t="str">
        <x:v>S03 S09</x:v>
      </x:c>
    </x:row>
    <x:row r="29" ht="76" hidden="0" customHeight="1">
      <x:c r="A29" s="16" t="str">
        <x:v>R23</x:v>
      </x:c>
      <x:c r="B29" s="16" t="str">
        <x:v>失败恢复与取消</x:v>
      </x:c>
      <x:c r="C29" s="16" t="str">
        <x:v>P0</x:v>
      </x:c>
      <x:c r="D29" s="16" t="str">
        <x:v>错误按需授权、限流、临时故障、永久不可用、预算不足及外部结果不明分类。先核对外部任务再决定重试；取消同时记录宿主阻止发布与远端停止状态。</x:v>
      </x:c>
      <x:c r="E29" s="16" t="str">
        <x:v>Worker重启复用已确认外部任务；结果不明时暂停盲目重提；旧租约不得提交，取消后晚回调不能恢复成功；已发生usage保留。</x:v>
      </x:c>
      <x:c r="F29" s="16" t="str">
        <x:v>COL-012, COL-013, COL-017, COL-018, COL-019, COL-027, K-007, IF-007, IF-009, IF-023</x:v>
      </x:c>
      <x:c r="G29" s="16" t="str">
        <x:v>AC04 AC06 AC07 AC21</x:v>
      </x:c>
      <x:c r="H29" s="16" t="str">
        <x:v>S02 S16</x:v>
      </x:c>
    </x:row>
    <x:row r="30" ht="76" hidden="0" customHeight="1">
      <x:c r="A30" s="18" t="str">
        <x:v>R24</x:v>
      </x:c>
      <x:c r="B30" s="18" t="str">
        <x:v>运行观察与资源预算</x:v>
      </x:c>
      <x:c r="C30" s="18" t="str">
        <x:v>P0</x:v>
      </x:c>
      <x:c r="D30" s="18" t="str">
        <x:v>展示每阶段耗时、队列、失败分类、处理媒体分钟数、模型 usage、存储量及估算成本；复用宿主预算记账和审计能力。</x:v>
      </x:c>
      <x:c r="E30" s="18" t="str">
        <x:v>可从 operation 追到外部任务和模型调用；触发额度后阻止新重任务并保留待办。</x:v>
      </x:c>
      <x:c r="F30" s="18" t="str">
        <x:v>COL-020, COL-024, COL-031, K-031, IF-018, QA-003</x:v>
      </x:c>
      <x:c r="G30" s="18" t="str">
        <x:v>AC22 AC29</x:v>
      </x:c>
      <x:c r="H30" s="18" t="str">
        <x:v>S01 S02 S03</x:v>
      </x:c>
    </x:row>
    <x:row r="31" ht="76" hidden="0" customHeight="1">
      <x:c r="A31" s="16" t="str">
        <x:v>R25</x:v>
      </x:c>
      <x:c r="B31" s="16" t="str">
        <x:v>保留删除与失效</x:v>
      </x:c>
      <x:c r="C31" s="16" t="str">
        <x:v>P0</x:v>
      </x:c>
      <x:c r="D31" s="16" t="str">
        <x:v>分别处理停用订阅、媒体正常到期、远程下架、撤权和内容擦除。保存期与可用权限独立判断；撤权/擦除传播到索引、知识、缓存和Skill依赖。</x:v>
      </x:c>
      <x:c r="E31" s="16" t="str">
        <x:v>媒体到期显示不可播放但保留仍获授权的文本证据；撤权/擦除后禁止再检索或发布受影响内容；恢复备份不复活撤回数据。</x:v>
      </x:c>
      <x:c r="F31" s="16" t="str">
        <x:v>COL-029, K-025, IF-026, IF-027</x:v>
      </x:c>
      <x:c r="G31" s="16" t="str">
        <x:v>AC07 AC16 AC23</x:v>
      </x:c>
      <x:c r="H31" s="16" t="str">
        <x:v>S01 S02</x:v>
      </x:c>
    </x:row>
    <x:row r="32" ht="76" hidden="0" customHeight="1">
      <x:c r="A32" s="18" t="str">
        <x:v>R26</x:v>
      </x:c>
      <x:c r="B32" s="18" t="str">
        <x:v>依赖与部署</x:v>
      </x:c>
      <x:c r="C32" s="18" t="str">
        <x:v>P0</x:v>
      </x:c>
      <x:c r="D32" s="18" t="str">
        <x:v>锁定三个项目的版本，保留修改记录和上游许可证通知；独立部署 DTK 及视频执行组件，业务权威仍在宿主。</x:v>
      </x:c>
      <x:c r="E32" s="18" t="str">
        <x:v>可在干净环境启动并完成冒烟；升级适配器通过固定契约样本，不自动追随上游 main。</x:v>
      </x:c>
      <x:c r="F32" s="18" t="str">
        <x:v>COL-001, COL-025, COL-031, K-001, IF-001, IF-030, FND-004, FND-005, QA-002</x:v>
      </x:c>
      <x:c r="G32" s="18" t="str">
        <x:v>AC24</x:v>
      </x:c>
      <x:c r="H32" s="18" t="str">
        <x:v>S01 S13 S15</x:v>
      </x:c>
    </x:row>
    <x:row r="33" ht="76" hidden="0" customHeight="1">
      <x:c r="A33" s="16" t="str">
        <x:v>R27</x:v>
      </x:c>
      <x:c r="B33" s="16" t="str">
        <x:v>质量评测与回归</x:v>
      </x:c>
      <x:c r="C33" s="16" t="str">
        <x:v>P0</x:v>
      </x:c>
      <x:c r="D33" s="16" t="str">
        <x:v>建立可使用的视频、证据标注和业务问答集，覆盖双平台、长视频、噪声、静音视觉、来源更新与错误场景；比较原宿主基线。</x:v>
      </x:c>
      <x:c r="E33" s="16" t="str">
        <x:v>验收报告能追溯到数据版本、模型、配置及判定者；未经真实端到端通过的项不能标为上线完成。</x:v>
      </x:c>
      <x:c r="F33" s="16" t="str">
        <x:v>COL-026, COL-027, COL-028, COL-031, K-030, K-031, IF-028, IF-029, FND-001, FND-003, FND-005, QA-001, QA-003</x:v>
      </x:c>
      <x:c r="G33" s="16" t="str">
        <x:v>AC27 AC29</x:v>
      </x:c>
      <x:c r="H33" s="16" t="str">
        <x:v>S18</x:v>
      </x:c>
    </x:row>
    <x:row r="34" ht="76" hidden="0" customHeight="1">
      <x:c r="A34" s="18" t="str">
        <x:v>R28</x:v>
      </x:c>
      <x:c r="B34" s="18" t="str">
        <x:v>灰度与回滚</x:v>
      </x:c>
      <x:c r="C34" s="18" t="str">
        <x:v>P0</x:v>
      </x:c>
      <x:c r="D34" s="18" t="str">
        <x:v>增量迁移、feature flag、单工作区灰度、数据备份及恢复演练；可暂停新视频任务并保留已导入文档和历史证据。</x:v>
      </x:c>
      <x:c r="E34" s="18" t="str">
        <x:v>关闭功能不破坏现有 RSS Telegram WeChat；任务及索引回滚按版本完成，不直接删除共享表。</x:v>
      </x:c>
      <x:c r="F34" s="18" t="str">
        <x:v>COL-003, COL-028, COL-029, IF-030, QA-002, QA-003</x:v>
      </x:c>
      <x:c r="G34" s="18" t="str">
        <x:v>AC24 AC28</x:v>
      </x:c>
      <x:c r="H34" s="18" t="str">
        <x:v>S01 S02 S10</x:v>
      </x:c>
    </x:row>
    <x:row r="35" ht="76" hidden="0" customHeight="1">
      <x:c r="A35" s="16" t="str">
        <x:v>R29</x:v>
      </x:c>
      <x:c r="B35" s="16" t="str">
        <x:v>受控运维 CLI</x:v>
      </x:c>
      <x:c r="C35" s="16" t="str">
        <x:v>P2</x:v>
      </x:c>
      <x:c r="D35" s="16" t="str">
        <x:v>可选提供基于宿主 API 的 source、job、replay、export 命令；复用鉴权和幂等，不把上游直连数据库 CLI 暴露给 Agent。</x:v>
      </x:c>
      <x:c r="E35" s="16" t="str">
        <x:v>相同操作的 CLI 与宿主界面结果一致；只读或受限凭据无法执行越权重放。</x:v>
      </x:c>
      <x:c r="F35" s="16" t="str">
        <x:v>EXT-001</x:v>
      </x:c>
      <x:c r="G35" s="16" t="str">
        <x:v>AC30</x:v>
      </x:c>
      <x:c r="H35" s="16" t="str">
        <x:v>S01 S15</x:v>
      </x:c>
    </x:row>
    <x:row r="36" ht="76" hidden="0" customHeight="1">
      <x:c r="A36" s="18" t="str">
        <x:v>R30</x:v>
      </x:c>
      <x:c r="B36" s="18" t="str">
        <x:v>扩展来源与高级管理</x:v>
      </x:c>
      <x:c r="C36" s="18" t="str">
        <x:v>P2</x:v>
      </x:c>
      <x:c r="D36" s="18" t="str">
        <x:v>在同一 Provider 接口上扩展 TikTok、合集及更多平台；按实际需求考虑动态 Skill registry 和更大规模检索。</x:v>
      </x:c>
      <x:c r="E36" s="18" t="str">
        <x:v>新增平台通过相同契约、权限、完整性及证据测试，无须改动核心知识模型。</x:v>
      </x:c>
      <x:c r="F36" s="18" t="str">
        <x:v>COL-032, COL-033, K-032, IF-016, IF-031, IF-032</x:v>
      </x:c>
      <x:c r="G36" s="18" t="str">
        <x:v>AC30</x:v>
      </x:c>
      <x:c r="H36" s="18" t="str">
        <x:v>S06 S15</x:v>
      </x:c>
    </x:row>
    <x:row r="37" ht="24" customHeight="1">
      <x:c r="A37" s="2"/>
      <x:c r="B37" s="2"/>
      <x:c r="C37" s="2"/>
      <x:c r="D37" s="2"/>
      <x:c r="E37" s="2"/>
      <x:c r="F37" s="2"/>
      <x:c r="G37" s="2"/>
      <x:c r="H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</x:row>
  </x:sheetData>
  <x:pageMargins left="0.7" right="0.7" top="0.75" bottom="0.75" header="0.3" footer="0.3"/>
  <x:tableParts count="1">
    <x:tablePart xmlns:r="http://schemas.openxmlformats.org/officeDocument/2006/relationships" r:id="R28e5e97610fa44d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36" hidden="0" customWidth="1"/>
    <x:col min="3" max="3" width="10" hidden="0" customWidth="1"/>
    <x:col min="4" max="4" width="64" hidden="0" customWidth="1"/>
    <x:col min="5" max="5" width="72" hidden="0" customWidth="1"/>
    <x:col min="6" max="6" width="90" hidden="0" customWidth="1"/>
    <x:col min="7" max="7" width="32" hidden="0" customWidth="1"/>
    <x:col min="8" max="8" width="14" hidden="0" customWidth="1"/>
    <x:col min="9" max="9" width="17" hidden="0" customWidth="1"/>
    <x:col min="10" max="10" width="50" hidden="0" customWidth="1"/>
    <x:col min="11" max="11" width="4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1" customHeight="1">
      <x:c r="A2" s="3" t="str">
        <x:v>端到端验收用例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4" t="str">
        <x:v>按用例阶段执行；P1重复覆盖P0接口属于回归。P0的Skill依赖检查仅涉及固定原生方法，候选版本界面在P1验收。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8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4" customHeight="1">
      <x:c r="A6" s="10" t="str">
        <x:v>用例ID</x:v>
      </x:c>
      <x:c r="B6" s="11" t="str">
        <x:v>验收场景</x:v>
      </x:c>
      <x:c r="C6" s="11" t="str">
        <x:v>阶段</x:v>
      </x:c>
      <x:c r="D6" s="11" t="str">
        <x:v>前提</x:v>
      </x:c>
      <x:c r="E6" s="11" t="str">
        <x:v>执行步骤</x:v>
      </x:c>
      <x:c r="F6" s="11" t="str">
        <x:v>预期结果</x:v>
      </x:c>
      <x:c r="G6" s="11" t="str">
        <x:v>PRD需求ID</x:v>
      </x:c>
      <x:c r="H6" s="11" t="str">
        <x:v>执行状态</x:v>
      </x:c>
      <x:c r="I6" s="11" t="str">
        <x:v>验收人</x:v>
      </x:c>
      <x:c r="J6" s="11" t="str">
        <x:v>结果或运行证据链接</x:v>
      </x:c>
      <x:c r="K6" s="12" t="str">
        <x:v>缺陷链接</x:v>
      </x:c>
    </x:row>
    <x:row r="7" ht="64" hidden="0" customHeight="1">
      <x:c r="A7" s="16" t="str">
        <x:v>AC01</x:v>
      </x:c>
      <x:c r="B7" s="16" t="str">
        <x:v>B站单视频闭环</x:v>
      </x:c>
      <x:c r="C7" s="16" t="str">
        <x:v>P0</x:v>
      </x:c>
      <x:c r="D7" s="16" t="str">
        <x:v>可使用的 B站视频及领域配置</x:v>
      </x:c>
      <x:c r="E7" s="16" t="str">
        <x:v>从宿主提交链接并完成处理、复核和检索</x:v>
      </x:c>
      <x:c r="F7" s="16" t="str">
        <x:v>产生唯一文档、带时轴引用及已发布知识，Agent 正确引用</x:v>
      </x:c>
      <x:c r="G7" s="16" t="str">
        <x:v>R02 R06 R07 R11 R15 R16</x:v>
      </x:c>
      <x:c r="H7" s="19" t="str">
        <x:v>阻塞</x:v>
      </x:c>
      <x:c r="I7" s="19" t="str">
        <x:v>dot 工程审核与独立复核（受控 TEST；非行业业务签收）</x:v>
      </x:c>
      <x:c r="J7" s="19" t="str">
        <x:v>docs/video-ingestion/evidence/v1-closure-matrix.json#/acceptance_cases/0</x:v>
      </x:c>
      <x:c r="K7" s="19" t="str">
        <x:v>原验收前置待补（非未关闭工程缺陷）：待合法B站实际获取与已冻结领域配置的原业务验收。</x:v>
      </x:c>
    </x:row>
    <x:row r="8" ht="64" hidden="0" customHeight="1">
      <x:c r="A8" s="18" t="str">
        <x:v>AC02</x:v>
      </x:c>
      <x:c r="B8" s="18" t="str">
        <x:v>抖音单视频闭环</x:v>
      </x:c>
      <x:c r="C8" s="18" t="str">
        <x:v>P0</x:v>
      </x:c>
      <x:c r="D8" s="18" t="str">
        <x:v>可使用的抖音视频及可用连接</x:v>
      </x:c>
      <x:c r="E8" s="18" t="str">
        <x:v>从宿主提交分享短链</x:v>
      </x:c>
      <x:c r="F8" s="18" t="str">
        <x:v>归一化后完成下载、转写及证据入库</x:v>
      </x:c>
      <x:c r="G8" s="18" t="str">
        <x:v>R02 R06 R11</x:v>
      </x:c>
      <x:c r="H8" s="19" t="str">
        <x:v>阻塞</x:v>
      </x:c>
      <x:c r="I8" s="19" t="str">
        <x:v>dot 工程审核与独立复核（受控 TEST；非行业业务签收）</x:v>
      </x:c>
      <x:c r="J8" s="19" t="str">
        <x:v>docs/video-ingestion/evidence/v1-closure-matrix.json#/acceptance_cases/1</x:v>
      </x:c>
      <x:c r="K8" s="19" t="str">
        <x:v>原验收前置待补（非未关闭工程缺陷）：待可用抖音分享短链/授权连接的真实获取；不把fixture当平台成功。</x:v>
      </x:c>
    </x:row>
    <x:row r="9" ht="64" hidden="0" customHeight="1">
      <x:c r="A9" s="16" t="str">
        <x:v>AC03</x:v>
      </x:c>
      <x:c r="B9" s="16" t="str">
        <x:v>关闭聊天后的持续执行</x:v>
      </x:c>
      <x:c r="C9" s="16" t="str">
        <x:v>P0</x:v>
      </x:c>
      <x:c r="D9" s="16" t="str">
        <x:v>两个平台各一账号，配置两个调度窗口</x:v>
      </x:c>
      <x:c r="E9" s="16" t="str">
        <x:v>关闭浏览器与聊天后等待窗口，再重新登录</x:v>
      </x:c>
      <x:c r="F9" s="16" t="str">
        <x:v>后台按时新增任务与知识候选，展示运行记录</x:v>
      </x:c>
      <x:c r="G9" s="16" t="str">
        <x:v>R03 R20</x:v>
      </x:c>
      <x:c r="H9" s="19" t="str">
        <x:v>阻塞</x:v>
      </x:c>
      <x:c r="I9" s="19" t="str">
        <x:v>dot 工程审核与独立复核（受控 TEST；非行业业务签收）</x:v>
      </x:c>
      <x:c r="J9" s="19" t="str">
        <x:v>docs/video-ingestion/evidence/v1-closure-matrix.json#/acceptance_cases/2</x:v>
      </x:c>
      <x:c r="K9" s="19" t="str">
        <x:v>原验收前置待补（非未关闭工程缺陷）：原两个平台真实账号与实际窗口/重新登录验收仍需对应来源；不以加速时钟替代。</x:v>
      </x:c>
    </x:row>
    <x:row r="10" ht="64" hidden="0" customHeight="1">
      <x:c r="A10" s="18" t="str">
        <x:v>AC04</x:v>
      </x:c>
      <x:c r="B10" s="18" t="str">
        <x:v>发现分页失败</x:v>
      </x:c>
      <x:c r="C10" s="18" t="str">
        <x:v>P0</x:v>
      </x:c>
      <x:c r="D10" s="18" t="str">
        <x:v>多页账号样本，第二页临时失败</x:v>
      </x:c>
      <x:c r="E10" s="18" t="str">
        <x:v>触发采集、重启后恢复</x:v>
      </x:c>
      <x:c r="F10" s="18" t="str">
        <x:v>不漏已发现任务，不将失败页当完整发现，游标可解释</x:v>
      </x:c>
      <x:c r="G10" s="18" t="str">
        <x:v>R04 R23</x:v>
      </x:c>
      <x:c r="H10" s="19" t="str">
        <x:v>通过</x:v>
      </x:c>
      <x:c r="I10" s="19" t="str">
        <x:v>dot 工程审核与独立复核（受控 TEST；非行业业务签收）</x:v>
      </x:c>
      <x:c r="J10" s="19" t="str">
        <x:v>docs/video-ingestion/evidence/v1-closure-matrix.json#/acceptance_cases/3</x:v>
      </x:c>
      <x:c r="K10" s="19" t="str"/>
    </x:row>
    <x:row r="11" ht="64" hidden="0" customHeight="1">
      <x:c r="A11" s="16" t="str">
        <x:v>AC05</x:v>
      </x:c>
      <x:c r="B11" s="16" t="str">
        <x:v>同一提交重放</x:v>
      </x:c>
      <x:c r="C11" s="16" t="str">
        <x:v>P0</x:v>
      </x:c>
      <x:c r="D11" s="16" t="str">
        <x:v>同 scope 相同配置与视频</x:v>
      </x:c>
      <x:c r="E11" s="16" t="str">
        <x:v>从手工、定时及 MCP 重复提交</x:v>
      </x:c>
      <x:c r="F11" s="16" t="str">
        <x:v>不重复下载或发布；同键异参返回409语义</x:v>
      </x:c>
      <x:c r="G11" s="16" t="str">
        <x:v>R05 R17</x:v>
      </x:c>
      <x:c r="H11" s="19" t="str">
        <x:v>通过</x:v>
      </x:c>
      <x:c r="I11" s="19" t="str">
        <x:v>dot 工程审核与独立复核（受控 TEST；非行业业务签收）</x:v>
      </x:c>
      <x:c r="J11" s="19" t="str">
        <x:v>docs/video-ingestion/evidence/v1-closure-matrix.json#/acceptance_cases/4</x:v>
      </x:c>
      <x:c r="K11" s="19" t="str"/>
    </x:row>
    <x:row r="12" ht="64" hidden="0" customHeight="1">
      <x:c r="A12" s="18" t="str">
        <x:v>AC06</x:v>
      </x:c>
      <x:c r="B12" s="18" t="str">
        <x:v>任务租约与外部结果不明</x:v>
      </x:c>
      <x:c r="C12" s="18" t="str">
        <x:v>P0</x:v>
      </x:c>
      <x:c r="D12" s="18" t="str">
        <x:v>可控下载任务；含远端接受后响应丢失夹具</x:v>
      </x:c>
      <x:c r="E12" s="18" t="str">
        <x:v>终止Worker并回送旧结果；模拟外部task ID响应丢失</x:v>
      </x:c>
      <x:c r="F12" s="18" t="str">
        <x:v>只允许当前阶段fencing提交；已确认任务复用；未知结果进入reconciliation_required而非盲目重提</x:v>
      </x:c>
      <x:c r="G12" s="18" t="str">
        <x:v>R05 R23</x:v>
      </x:c>
      <x:c r="H12" s="19" t="str">
        <x:v>通过</x:v>
      </x:c>
      <x:c r="I12" s="19" t="str">
        <x:v>dot 工程审核与独立复核（受控 TEST；非行业业务签收）</x:v>
      </x:c>
      <x:c r="J12" s="19" t="str">
        <x:v>docs/video-ingestion/evidence/v1-closure-matrix.json#/acceptance_cases/5</x:v>
      </x:c>
      <x:c r="K12" s="19" t="str"/>
    </x:row>
    <x:row r="13" ht="64" hidden="0" customHeight="1">
      <x:c r="A13" s="16" t="str">
        <x:v>AC07</x:v>
      </x:c>
      <x:c r="B13" s="16" t="str">
        <x:v>取消与晚到回调</x:v>
      </x:c>
      <x:c r="C13" s="16" t="str">
        <x:v>P0</x:v>
      </x:c>
      <x:c r="D13" s="16" t="str">
        <x:v>一个运行中媒体任务</x:v>
      </x:c>
      <x:c r="E13" s="16" t="str">
        <x:v>取消后模拟远端cancel不支持和成功晚回调</x:v>
      </x:c>
      <x:c r="F13" s="16" t="str">
        <x:v>宿主阻止发布；远端状态为confirmed/unsupported/unknown之一；晚产物隔离清理，已发生usage不被抹除</x:v>
      </x:c>
      <x:c r="G13" s="16" t="str">
        <x:v>R23 R25</x:v>
      </x:c>
      <x:c r="H13" s="19" t="str">
        <x:v>通过</x:v>
      </x:c>
      <x:c r="I13" s="19" t="str">
        <x:v>dot 工程审核与独立复核（受控 TEST；非行业业务签收）</x:v>
      </x:c>
      <x:c r="J13" s="19" t="str">
        <x:v>docs/video-ingestion/evidence/v1-closure-matrix.json#/acceptance_cases/6</x:v>
      </x:c>
      <x:c r="K13" s="19" t="str"/>
    </x:row>
    <x:row r="14" ht="64" hidden="0" customHeight="1">
      <x:c r="A14" s="18" t="str">
        <x:v>AC08</x:v>
      </x:c>
      <x:c r="B14" s="18" t="str">
        <x:v>无字幕视频</x:v>
      </x:c>
      <x:c r="C14" s="18" t="str">
        <x:v>P0</x:v>
      </x:c>
      <x:c r="D14" s="18" t="str">
        <x:v>一段普通话无字幕样本</x:v>
      </x:c>
      <x:c r="E14" s="18" t="str">
        <x:v>启用 ASR 处理</x:v>
      </x:c>
      <x:c r="F14" s="18" t="str">
        <x:v>保存原始segments和时间映射，引用可定位</x:v>
      </x:c>
      <x:c r="G14" s="18" t="str">
        <x:v>R07 R11</x:v>
      </x:c>
      <x:c r="H14" s="19" t="str">
        <x:v>通过</x:v>
      </x:c>
      <x:c r="I14" s="19" t="str">
        <x:v>dot 工程审核与独立复核（受控 TEST；非行业业务签收）</x:v>
      </x:c>
      <x:c r="J14" s="19" t="str">
        <x:v>docs/video-ingestion/evidence/v1-closure-matrix.json#/acceptance_cases/7</x:v>
      </x:c>
      <x:c r="K14" s="19" t="str"/>
    </x:row>
    <x:row r="15" ht="64" hidden="0" customHeight="1">
      <x:c r="A15" s="16" t="str">
        <x:v>AC09</x:v>
      </x:c>
      <x:c r="B15" s="16" t="str">
        <x:v>长视频与大量segments</x:v>
      </x:c>
      <x:c r="C15" s="16" t="str">
        <x:v>P0</x:v>
      </x:c>
      <x:c r="D15" s="16" t="str">
        <x:v>含超过2000段及超过原文本上限的长样本</x:v>
      </x:c>
      <x:c r="E15" s="16" t="str">
        <x:v>分段处理并中断恢复</x:v>
      </x:c>
      <x:c r="F15" s="16" t="str">
        <x:v>完整清单可校验，无静默截断，缺口阻断必需就绪</x:v>
      </x:c>
      <x:c r="G15" s="16" t="str">
        <x:v>R08 R12</x:v>
      </x:c>
      <x:c r="H15" s="19" t="str">
        <x:v>通过</x:v>
      </x:c>
      <x:c r="I15" s="19" t="str">
        <x:v>dot 工程审核与独立复核（受控 TEST；非行业业务签收）</x:v>
      </x:c>
      <x:c r="J15" s="19" t="str">
        <x:v>docs/video-ingestion/evidence/v1-closure-matrix.json#/acceptance_cases/8</x:v>
      </x:c>
      <x:c r="K15" s="19" t="str"/>
    </x:row>
    <x:row r="16" ht="64" hidden="0" customHeight="1">
      <x:c r="A16" s="18" t="str">
        <x:v>AC10</x:v>
      </x:c>
      <x:c r="B16" s="18" t="str">
        <x:v>静音画面与并发抽帧</x:v>
      </x:c>
      <x:c r="C16" s="18" t="str">
        <x:v>P1</x:v>
      </x:c>
      <x:c r="D16" s="18" t="str">
        <x:v>静音PPT、短视频、尾组不足网格和两个并发任务</x:v>
      </x:c>
      <x:c r="E16" s="18" t="str">
        <x:v>以视觉必需模式运行；取消其中一个并发任务</x:v>
      </x:c>
      <x:c r="F16" s="18" t="str">
        <x:v>保留短片和尾组全部有效帧；不混帧不删除其他任务文件；必需视觉失败不能完整ready</x:v>
      </x:c>
      <x:c r="G16" s="18" t="str">
        <x:v>R09 R11 R12</x:v>
      </x:c>
      <x:c r="H16" s="19" t="str">
        <x:v>通过</x:v>
      </x:c>
      <x:c r="I16" s="19" t="str">
        <x:v>dot 工程审核与独立复核（受控 TEST；非行业业务签收）</x:v>
      </x:c>
      <x:c r="J16" s="19" t="str">
        <x:v>docs/video-ingestion/evidence/v1-closure-matrix.json#/acceptance_cases/9</x:v>
      </x:c>
      <x:c r="K16" s="19" t="str"/>
    </x:row>
    <x:row r="17" ht="64" hidden="0" customHeight="1">
      <x:c r="A17" s="16" t="str">
        <x:v>AC11</x:v>
      </x:c>
      <x:c r="B17" s="16" t="str">
        <x:v>元信息更新</x:v>
      </x:c>
      <x:c r="C17" s="16" t="str">
        <x:v>P0</x:v>
      </x:c>
      <x:c r="D17" s="16" t="str">
        <x:v>已转写并引用的视频</x:v>
      </x:c>
      <x:c r="E17" s="16" t="str">
        <x:v>再次采集仅修改标题或描述</x:v>
      </x:c>
      <x:c r="F17" s="16" t="str">
        <x:v>已转写正文仍存在，来源和派生版本关系可读</x:v>
      </x:c>
      <x:c r="G17" s="16" t="str">
        <x:v>R10</x:v>
      </x:c>
      <x:c r="H17" s="19" t="str">
        <x:v>通过</x:v>
      </x:c>
      <x:c r="I17" s="19" t="str">
        <x:v>dot 工程审核与独立复核（受控 TEST；非行业业务签收）</x:v>
      </x:c>
      <x:c r="J17" s="19" t="str">
        <x:v>docs/video-ingestion/evidence/v1-closure-matrix.json#/acceptance_cases/10</x:v>
      </x:c>
      <x:c r="K17" s="19" t="str"/>
    </x:row>
    <x:row r="18" ht="64" hidden="0" customHeight="1">
      <x:c r="A18" s="18" t="str">
        <x:v>AC12</x:v>
      </x:c>
      <x:c r="B18" s="18" t="str">
        <x:v>中文emoji引用</x:v>
      </x:c>
      <x:c r="C18" s="18" t="str">
        <x:v>P0</x:v>
      </x:c>
      <x:c r="D18" s="18" t="str">
        <x:v>包含emoji和混合中文的标注文本</x:v>
      </x:c>
      <x:c r="E18" s="18" t="str">
        <x:v>创建及解析跨段证据</x:v>
      </x:c>
      <x:c r="F18" s="18" t="str">
        <x:v>UTF-16偏移和引用片段严格一致，时轴映射正确</x:v>
      </x:c>
      <x:c r="G18" s="18" t="str">
        <x:v>R11</x:v>
      </x:c>
      <x:c r="H18" s="19" t="str">
        <x:v>通过</x:v>
      </x:c>
      <x:c r="I18" s="19" t="str">
        <x:v>dot 工程审核与独立复核（受控 TEST；非行业业务签收）</x:v>
      </x:c>
      <x:c r="J18" s="19" t="str">
        <x:v>docs/video-ingestion/evidence/v1-closure-matrix.json#/acceptance_cases/11</x:v>
      </x:c>
      <x:c r="K18" s="19" t="str"/>
    </x:row>
    <x:row r="19" ht="64" hidden="0" customHeight="1">
      <x:c r="A19" s="16" t="str">
        <x:v>AC13</x:v>
      </x:c>
      <x:c r="B19" s="16" t="str">
        <x:v>就绪屏障与事件重投</x:v>
      </x:c>
      <x:c r="C19" s="16" t="str">
        <x:v>P0</x:v>
      </x:c>
      <x:c r="D19" s="16" t="str">
        <x:v>worker成功但索引失败的任务，及已有ready旧版本</x:v>
      </x:c>
      <x:c r="E19" s="16" t="str">
        <x:v>模拟索引失败、恢复和事件重投</x:v>
      </x:c>
      <x:c r="F19" s="16" t="str">
        <x:v>失败时不切换可见revision、不发ready；旧版本可用，恢复后仅一次切换与有效下游运行</x:v>
      </x:c>
      <x:c r="G19" s="16" t="str">
        <x:v>R12</x:v>
      </x:c>
      <x:c r="H19" s="19" t="str">
        <x:v>通过</x:v>
      </x:c>
      <x:c r="I19" s="19" t="str">
        <x:v>dot 工程审核与独立复核（受控 TEST；非行业业务签收）</x:v>
      </x:c>
      <x:c r="J19" s="19" t="str">
        <x:v>docs/video-ingestion/evidence/v1-closure-matrix.json#/acceptance_cases/12</x:v>
      </x:c>
      <x:c r="K19" s="19" t="str"/>
    </x:row>
    <x:row r="20" ht="64" hidden="0" customHeight="1">
      <x:c r="A20" s="18" t="str">
        <x:v>AC14</x:v>
      </x:c>
      <x:c r="B20" s="18" t="str">
        <x:v>无依据的事实</x:v>
      </x:c>
      <x:c r="C20" s="18" t="str">
        <x:v>P0</x:v>
      </x:c>
      <x:c r="D20" s="18" t="str">
        <x:v>材料缺少特定参数</x:v>
      </x:c>
      <x:c r="E20" s="18" t="str">
        <x:v>要求整理该参数的知识卡</x:v>
      </x:c>
      <x:c r="F20" s="18" t="str">
        <x:v>返回信息缺失或推断标记，不能发布伪造事实</x:v>
      </x:c>
      <x:c r="G20" s="18" t="str">
        <x:v>R13 R15</x:v>
      </x:c>
      <x:c r="H20" s="19" t="str">
        <x:v>阻塞</x:v>
      </x:c>
      <x:c r="I20" s="19" t="str">
        <x:v>dot 工程审核与独立复核（受控 TEST；非行业业务签收）</x:v>
      </x:c>
      <x:c r="J20" s="19" t="str">
        <x:v>docs/video-ingestion/evidence/v1-closure-matrix.json#/acceptance_cases/13</x:v>
      </x:c>
      <x:c r="K20" s="19" t="str">
        <x:v>原验收前置待补（非未关闭工程缺陷）：真实所选模型对缺参材料的语义拒答/推断标记及人工判定仍未由确定性fixture证明；与AC27质量输入合并，不说缺实现。</x:v>
      </x:c>
    </x:row>
    <x:row r="21" ht="64" hidden="0" customHeight="1">
      <x:c r="A21" s="16" t="str">
        <x:v>AC15</x:v>
      </x:c>
      <x:c r="B21" s="16" t="str">
        <x:v>转载与冲突</x:v>
      </x:c>
      <x:c r="C21" s="16" t="str">
        <x:v>P1</x:v>
      </x:c>
      <x:c r="D21" s="16" t="str">
        <x:v>两份转载加一份冲突材料</x:v>
      </x:c>
      <x:c r="E21" s="16" t="str">
        <x:v>归并知识并计算来源关系</x:v>
      </x:c>
      <x:c r="F21" s="16" t="str">
        <x:v>转载不算独立佐证，冲突保留条件和证据</x:v>
      </x:c>
      <x:c r="G21" s="16" t="str">
        <x:v>R14</x:v>
      </x:c>
      <x:c r="H21" s="19" t="str">
        <x:v>通过</x:v>
      </x:c>
      <x:c r="I21" s="19" t="str">
        <x:v>dot 工程审核与独立复核（受控 TEST；非行业业务签收）</x:v>
      </x:c>
      <x:c r="J21" s="19" t="str">
        <x:v>docs/video-ingestion/evidence/v1-closure-matrix.json#/acceptance_cases/14</x:v>
      </x:c>
      <x:c r="K21" s="19" t="str"/>
    </x:row>
    <x:row r="22" ht="64" hidden="0" customHeight="1">
      <x:c r="A22" s="18" t="str">
        <x:v>AC16</x:v>
      </x:c>
      <x:c r="B22" s="18" t="str">
        <x:v>复核批准发布与撤回</x:v>
      </x:c>
      <x:c r="C22" s="18" t="str">
        <x:v>P0</x:v>
      </x:c>
      <x:c r="D22" s="18" t="str">
        <x:v>一条候选和一条已批准知识</x:v>
      </x:c>
      <x:c r="E22" s="18" t="str">
        <x:v>修改候选后用旧批准发布，再重新批准发布并撤回</x:v>
      </x:c>
      <x:c r="F22" s="18" t="str">
        <x:v>旧批准失效且版本冲突；新版本流程完整，撤回后默认检索不返回内容</x:v>
      </x:c>
      <x:c r="G22" s="18" t="str">
        <x:v>R15 R16 R25</x:v>
      </x:c>
      <x:c r="H22" s="19" t="str">
        <x:v>通过</x:v>
      </x:c>
      <x:c r="I22" s="19" t="str">
        <x:v>dot 工程审核与独立复核（受控 TEST；非行业业务签收）</x:v>
      </x:c>
      <x:c r="J22" s="19" t="str">
        <x:v>docs/video-ingestion/evidence/v1-closure-matrix.json#/acceptance_cases/15</x:v>
      </x:c>
      <x:c r="K22" s="19" t="str"/>
    </x:row>
    <x:row r="23" ht="64" hidden="0" customHeight="1">
      <x:c r="A23" s="16" t="str">
        <x:v>AC17</x:v>
      </x:c>
      <x:c r="B23" s="16" t="str">
        <x:v>跨工作区越权</x:v>
      </x:c>
      <x:c r="C23" s="16" t="str">
        <x:v>P0</x:v>
      </x:c>
      <x:c r="D23" s="16" t="str">
        <x:v>两个workspace各有视频文档</x:v>
      </x:c>
      <x:c r="E23" s="16" t="str">
        <x:v>替换job/document/evidence/object ID读取</x:v>
      </x:c>
      <x:c r="F23" s="16" t="str">
        <x:v>全部拒绝或不命中，日志不泄露另一工作区信息</x:v>
      </x:c>
      <x:c r="G23" s="16" t="str">
        <x:v>R21</x:v>
      </x:c>
      <x:c r="H23" s="19" t="str">
        <x:v>通过</x:v>
      </x:c>
      <x:c r="I23" s="19" t="str">
        <x:v>dot 工程审核与独立复核（受控 TEST；非行业业务签收）</x:v>
      </x:c>
      <x:c r="J23" s="19" t="str">
        <x:v>docs/video-ingestion/evidence/v1-closure-matrix.json#/acceptance_cases/16</x:v>
      </x:c>
      <x:c r="K23" s="19" t="str"/>
    </x:row>
    <x:row r="24" ht="64" hidden="0" customHeight="1">
      <x:c r="A24" s="18" t="str">
        <x:v>AC18</x:v>
      </x:c>
      <x:c r="B24" s="18" t="str">
        <x:v>MCP超时和输出边界</x:v>
      </x:c>
      <x:c r="C24" s="18" t="str">
        <x:v>P0</x:v>
      </x:c>
      <x:c r="D24" s="18" t="str">
        <x:v>批准的MCP连接与较长视频</x:v>
      </x:c>
      <x:c r="E24" s="18" t="str">
        <x:v>调用start后按游标读取产物</x:v>
      </x:c>
      <x:c r="F24" s="18" t="str">
        <x:v>短调用返回任务句柄，长任务后台运行，分页不丢数据</x:v>
      </x:c>
      <x:c r="G24" s="18" t="str">
        <x:v>R17</x:v>
      </x:c>
      <x:c r="H24" s="19" t="str">
        <x:v>通过</x:v>
      </x:c>
      <x:c r="I24" s="19" t="str">
        <x:v>dot 工程审核与独立复核（受控 TEST；非行业业务签收）</x:v>
      </x:c>
      <x:c r="J24" s="19" t="str">
        <x:v>docs/video-ingestion/evidence/v1-closure-matrix.json#/acceptance_cases/17</x:v>
      </x:c>
      <x:c r="K24" s="19" t="str"/>
    </x:row>
    <x:row r="25" ht="64" hidden="0" customHeight="1">
      <x:c r="A25" s="16" t="str">
        <x:v>AC19</x:v>
      </x:c>
      <x:c r="B25" s="16" t="str">
        <x:v>内网目标与重定向</x:v>
      </x:c>
      <x:c r="C25" s="16" t="str">
        <x:v>P0</x:v>
      </x:c>
      <x:c r="D25" s="16" t="str">
        <x:v>恶意链接及配置外目标</x:v>
      </x:c>
      <x:c r="E25" s="16" t="str">
        <x:v>请求私网、元数据、跨域重定向资源</x:v>
      </x:c>
      <x:c r="F25" s="16" t="str">
        <x:v>默认外联策略仍有效，受信内部通路仅达固定服务</x:v>
      </x:c>
      <x:c r="G25" s="16" t="str">
        <x:v>R22</x:v>
      </x:c>
      <x:c r="H25" s="19" t="str">
        <x:v>通过</x:v>
      </x:c>
      <x:c r="I25" s="19" t="str">
        <x:v>dot 工程审核与独立复核（受控 TEST；非行业业务签收）</x:v>
      </x:c>
      <x:c r="J25" s="19" t="str">
        <x:v>docs/video-ingestion/evidence/v1-closure-matrix.json#/acceptance_cases/18</x:v>
      </x:c>
      <x:c r="K25" s="19" t="str"/>
    </x:row>
    <x:row r="26" ht="64" hidden="0" customHeight="1">
      <x:c r="A26" s="18" t="str">
        <x:v>AC20</x:v>
      </x:c>
      <x:c r="B26" s="18" t="str">
        <x:v>字幕提示注入</x:v>
      </x:c>
      <x:c r="C26" s="18" t="str">
        <x:v>P0</x:v>
      </x:c>
      <x:c r="D26" s="18" t="str">
        <x:v>含忽略指令或外传要求的字幕</x:v>
      </x:c>
      <x:c r="E26" s="18" t="str">
        <x:v>执行知识整理Skill</x:v>
      </x:c>
      <x:c r="F26" s="18" t="str">
        <x:v>内容作为材料处理，无未授权调用和数据外传</x:v>
      </x:c>
      <x:c r="G26" s="18" t="str">
        <x:v>R18 R22</x:v>
      </x:c>
      <x:c r="H26" s="19" t="str">
        <x:v>通过</x:v>
      </x:c>
      <x:c r="I26" s="19" t="str">
        <x:v>dot 工程审核与独立复核（受控 TEST；非行业业务签收）</x:v>
      </x:c>
      <x:c r="J26" s="19" t="str">
        <x:v>docs/video-ingestion/evidence/v1-closure-matrix.json#/acceptance_cases/19</x:v>
      </x:c>
      <x:c r="K26" s="19" t="str"/>
    </x:row>
    <x:row r="27" ht="64" hidden="0" customHeight="1">
      <x:c r="A27" s="16" t="str">
        <x:v>AC21</x:v>
      </x:c>
      <x:c r="B27" s="16" t="str">
        <x:v>凭据与限流</x:v>
      </x:c>
      <x:c r="C27" s="16" t="str">
        <x:v>P0</x:v>
      </x:c>
      <x:c r="D27" s="16" t="str">
        <x:v>过期凭据和可控429响应</x:v>
      </x:c>
      <x:c r="E27" s="16" t="str">
        <x:v>执行采集并更新凭据后恢复</x:v>
      </x:c>
      <x:c r="F27" s="16" t="str">
        <x:v>显示需授权/重试时间；凭据不出现在UI、模型上下文或日志</x:v>
      </x:c>
      <x:c r="G27" s="16" t="str">
        <x:v>R02 R23</x:v>
      </x:c>
      <x:c r="H27" s="19" t="str">
        <x:v>通过</x:v>
      </x:c>
      <x:c r="I27" s="19" t="str">
        <x:v>dot 工程审核与独立复核（受控 TEST；非行业业务签收）</x:v>
      </x:c>
      <x:c r="J27" s="19" t="str">
        <x:v>docs/video-ingestion/evidence/v1-closure-matrix.json#/acceptance_cases/20</x:v>
      </x:c>
      <x:c r="K27" s="19" t="str"/>
    </x:row>
    <x:row r="28" ht="64" hidden="0" customHeight="1">
      <x:c r="A28" s="18" t="str">
        <x:v>AC22</x:v>
      </x:c>
      <x:c r="B28" s="18" t="str">
        <x:v>预算耗尽</x:v>
      </x:c>
      <x:c r="C28" s="18" t="str">
        <x:v>P0</x:v>
      </x:c>
      <x:c r="D28" s="18" t="str">
        <x:v>很小的workspace处理额度</x:v>
      </x:c>
      <x:c r="E28" s="18" t="str">
        <x:v>连续提交超过额度的任务</x:v>
      </x:c>
      <x:c r="F28" s="18" t="str">
        <x:v>新重任务阻塞，已完成阶段可重用，usage不重复结算</x:v>
      </x:c>
      <x:c r="G28" s="18" t="str">
        <x:v>R24</x:v>
      </x:c>
      <x:c r="H28" s="19" t="str">
        <x:v>通过</x:v>
      </x:c>
      <x:c r="I28" s="19" t="str">
        <x:v>dot 工程审核与独立复核（受控 TEST；非行业业务签收）</x:v>
      </x:c>
      <x:c r="J28" s="19" t="str">
        <x:v>docs/video-ingestion/evidence/v1-closure-matrix.json#/acceptance_cases/21</x:v>
      </x:c>
      <x:c r="K28" s="19" t="str"/>
    </x:row>
    <x:row r="29" ht="64" hidden="0" customHeight="1">
      <x:c r="A29" s="16" t="str">
        <x:v>AC23</x:v>
      </x:c>
      <x:c r="B29" s="16" t="str">
        <x:v>来源停用到期与撤权</x:v>
      </x:c>
      <x:c r="C29" s="16" t="str">
        <x:v>P0</x:v>
      </x:c>
      <x:c r="D29" s="16" t="str">
        <x:v>已发布知识引用某视频且文本仍获保留授权</x:v>
      </x:c>
      <x:c r="E29" s="16" t="str">
        <x:v>分别执行停用订阅、媒体到期、远程404与撤权/擦除</x:v>
      </x:c>
      <x:c r="F29" s="16" t="str">
        <x:v>停用不删历史；到期只标不可播放；远程下架按授权处理；撤权/擦除阻断检索发布并传播Skill依赖</x:v>
      </x:c>
      <x:c r="G29" s="16" t="str">
        <x:v>R25</x:v>
      </x:c>
      <x:c r="H29" s="19" t="str">
        <x:v>通过</x:v>
      </x:c>
      <x:c r="I29" s="19" t="str">
        <x:v>dot 工程审核与独立复核（受控 TEST；非行业业务签收）</x:v>
      </x:c>
      <x:c r="J29" s="19" t="str">
        <x:v>docs/video-ingestion/evidence/v1-closure-matrix.json#/acceptance_cases/22</x:v>
      </x:c>
      <x:c r="K29" s="19" t="str"/>
    </x:row>
    <x:row r="30" ht="64" hidden="0" customHeight="1">
      <x:c r="A30" s="18" t="str">
        <x:v>AC24</x:v>
      </x:c>
      <x:c r="B30" s="18" t="str">
        <x:v>现有功能兼容</x:v>
      </x:c>
      <x:c r="C30" s="18" t="str">
        <x:v>P0</x:v>
      </x:c>
      <x:c r="D30" s="18" t="str">
        <x:v>RSS Telegram WeChat回归夹具</x:v>
      </x:c>
      <x:c r="E30" s="18" t="str">
        <x:v>启用和关闭视频功能分别运行</x:v>
      </x:c>
      <x:c r="F30" s="18" t="str">
        <x:v>原有采集、ASR/OCR、检索及周期Canvas路径不退化</x:v>
      </x:c>
      <x:c r="G30" s="18" t="str">
        <x:v>R26 R28</x:v>
      </x:c>
      <x:c r="H30" s="19" t="str">
        <x:v>通过</x:v>
      </x:c>
      <x:c r="I30" s="19" t="str">
        <x:v>dot 工程审核与独立复核（受控 TEST；非行业业务签收）</x:v>
      </x:c>
      <x:c r="J30" s="19" t="str">
        <x:v>docs/video-ingestion/evidence/v1-closure-matrix.json#/acceptance_cases/23</x:v>
      </x:c>
      <x:c r="K30" s="19" t="str"/>
    </x:row>
    <x:row r="31" ht="64" hidden="0" customHeight="1">
      <x:c r="A31" s="16" t="str">
        <x:v>AC25</x:v>
      </x:c>
      <x:c r="B31" s="16" t="str">
        <x:v>实际宿主Agent使用</x:v>
      </x:c>
      <x:c r="C31" s="16" t="str">
        <x:v>P0</x:v>
      </x:c>
      <x:c r="D31" s="16" t="str">
        <x:v>已就绪资料和原生整理Skill</x:v>
      </x:c>
      <x:c r="E31" s="16" t="str">
        <x:v>在intelligence及Canvas实际入口调用</x:v>
      </x:c>
      <x:c r="F31" s="16" t="str">
        <x:v>加载正确Skill版本，返回宿主证据ID而非外部临时文本</x:v>
      </x:c>
      <x:c r="G31" s="16" t="str">
        <x:v>R16 R18</x:v>
      </x:c>
      <x:c r="H31" s="19" t="str">
        <x:v>通过</x:v>
      </x:c>
      <x:c r="I31" s="19" t="str">
        <x:v>dot 工程审核与独立复核（受控 TEST；非行业业务签收）</x:v>
      </x:c>
      <x:c r="J31" s="19" t="str">
        <x:v>docs/video-ingestion/evidence/v1-closure-matrix.json#/acceptance_cases/24</x:v>
      </x:c>
      <x:c r="K31" s="19" t="str"/>
    </x:row>
    <x:row r="32" ht="64" hidden="0" customHeight="1">
      <x:c r="A32" s="18" t="str">
        <x:v>AC26</x:v>
      </x:c>
      <x:c r="B32" s="18" t="str">
        <x:v>Skill评测批准部署安装</x:v>
      </x:c>
      <x:c r="C32" s="18" t="str">
        <x:v>P1</x:v>
      </x:c>
      <x:c r="D32" s="18" t="str">
        <x:v>候选Skill、固定评测集和运行中的旧版本</x:v>
      </x:c>
      <x:c r="E32" s="18" t="str">
        <x:v>评测、批准、构建、部署、安装新版并回滚</x:v>
      </x:c>
      <x:c r="F32" s="18" t="str">
        <x:v>旧version/hash在新部署仍可加载；新run可pin新版；批准不等于生效，当前撤权仍阻断旧引用</x:v>
      </x:c>
      <x:c r="G32" s="18" t="str">
        <x:v>R19</x:v>
      </x:c>
      <x:c r="H32" s="19" t="str">
        <x:v>通过</x:v>
      </x:c>
      <x:c r="I32" s="19" t="str">
        <x:v>dot 工程审核与独立复核（受控 TEST；非行业业务签收）</x:v>
      </x:c>
      <x:c r="J32" s="19" t="str">
        <x:v>docs/video-ingestion/evidence/v1-closure-matrix.json#/acceptance_cases/25</x:v>
      </x:c>
      <x:c r="K32" s="19" t="str"/>
    </x:row>
    <x:row r="33" ht="64" hidden="0" customHeight="1">
      <x:c r="A33" s="16" t="str">
        <x:v>AC27</x:v>
      </x:c>
      <x:c r="B33" s="16" t="str">
        <x:v>Skill负向与回归测试</x:v>
      </x:c>
      <x:c r="C33" s="16" t="str">
        <x:v>P1</x:v>
      </x:c>
      <x:c r="D33" s="16" t="str">
        <x:v>包含不适用问题和缺材料问题</x:v>
      </x:c>
      <x:c r="E33" s="16" t="str">
        <x:v>与无Skill基线运行同模型同输入</x:v>
      </x:c>
      <x:c r="F33" s="16" t="str">
        <x:v>正确拒答/请求补充；关键输出不退化且证据有效</x:v>
      </x:c>
      <x:c r="G33" s="16" t="str">
        <x:v>R19 R27</x:v>
      </x:c>
      <x:c r="H33" s="19" t="str">
        <x:v>阻塞</x:v>
      </x:c>
      <x:c r="I33" s="19" t="str">
        <x:v>dot 工程审核与独立复核（受控 TEST；非行业业务签收）</x:v>
      </x:c>
      <x:c r="J33" s="19" t="str">
        <x:v>docs/video-ingestion/evidence/v1-closure-matrix.json#/acceptance_cases/26</x:v>
      </x:c>
      <x:c r="K33" s="19" t="str">
        <x:v>原验收前置待补（非未关闭工程缺陷）：真实行业固定集/独立人工金标与所选模型结果比较未验收；exact_expected_output_v1不是模型质量结论。</x:v>
      </x:c>
    </x:row>
    <x:row r="34" ht="64" hidden="0" customHeight="1">
      <x:c r="A34" s="18" t="str">
        <x:v>AC28</x:v>
      </x:c>
      <x:c r="B34" s="18" t="str">
        <x:v>迁移失败与恢复</x:v>
      </x:c>
      <x:c r="C34" s="18" t="str">
        <x:v>P0</x:v>
      </x:c>
      <x:c r="D34" s="18" t="str">
        <x:v>备份及可回滚的增量迁移</x:v>
      </x:c>
      <x:c r="E34" s="18" t="str">
        <x:v>模拟迁移/发布失败并恢复</x:v>
      </x:c>
      <x:c r="F34" s="18" t="str">
        <x:v>不丢历史revision与引用，未完成任务可继续</x:v>
      </x:c>
      <x:c r="G34" s="18" t="str">
        <x:v>R28</x:v>
      </x:c>
      <x:c r="H34" s="19" t="str">
        <x:v>通过</x:v>
      </x:c>
      <x:c r="I34" s="19" t="str">
        <x:v>dot 工程审核与独立复核（受控 TEST；非行业业务签收）</x:v>
      </x:c>
      <x:c r="J34" s="19" t="str">
        <x:v>docs/video-ingestion/evidence/v1-closure-matrix.json#/acceptance_cases/27</x:v>
      </x:c>
      <x:c r="K34" s="19" t="str"/>
    </x:row>
    <x:row r="35" ht="64" hidden="0" customHeight="1">
      <x:c r="A35" s="16" t="str">
        <x:v>AC29</x:v>
      </x:c>
      <x:c r="B35" s="16" t="str">
        <x:v>试点持续运行</x:v>
      </x:c>
      <x:c r="C35" s="16" t="str">
        <x:v>P0</x:v>
      </x:c>
      <x:c r="D35" s="16" t="str">
        <x:v>M0冻结的来源、样本和试点时长，默认建议7天</x:v>
      </x:c>
      <x:c r="E35" s="16" t="str">
        <x:v>按冻结时长持续运行并导出结果</x:v>
      </x:c>
      <x:c r="F35" s="16" t="str">
        <x:v>核对发现量、各阶段成功失败、费用和知识质量，未结阻塞项明确</x:v>
      </x:c>
      <x:c r="G35" s="16" t="str">
        <x:v>R03 R24 R27</x:v>
      </x:c>
      <x:c r="H35" s="19" t="str">
        <x:v>阻塞</x:v>
      </x:c>
      <x:c r="I35" s="19" t="str">
        <x:v>dot 工程审核与独立复核（受控 TEST；非行业业务签收）</x:v>
      </x:c>
      <x:c r="J35" s="19" t="str">
        <x:v>docs/video-ingestion/evidence/v1-closure-matrix.json#/acceptance_cases/28</x:v>
      </x:c>
      <x:c r="K35" s="19" t="str">
        <x:v>原验收前置待补（非未关闭工程缺陷）：待M0真实来源/样本/配置/预算及冻结时长连续运行和结果核对；默认建议7天，不压缩/虚构，TEST不默认要求生产授权。</x:v>
      </x:c>
    </x:row>
    <x:row r="36" ht="64" hidden="0" customHeight="1">
      <x:c r="A36" s="18" t="str">
        <x:v>AC30</x:v>
      </x:c>
      <x:c r="B36" s="18" t="str">
        <x:v>扩展平台和CLI一致性</x:v>
      </x:c>
      <x:c r="C36" s="18" t="str">
        <x:v>P2</x:v>
      </x:c>
      <x:c r="D36" s="18" t="str">
        <x:v>扩展Provider或受限CLI凭据</x:v>
      </x:c>
      <x:c r="E36" s="18" t="str">
        <x:v>按相同契约运行和查询</x:v>
      </x:c>
      <x:c r="F36" s="18" t="str">
        <x:v>核心流程无分叉，权限和幂等与宿主一致</x:v>
      </x:c>
      <x:c r="G36" s="18" t="str">
        <x:v>R29 R30</x:v>
      </x:c>
      <x:c r="H36" s="19" t="str">
        <x:v>未执行</x:v>
      </x:c>
      <x:c r="I36" s="19" t="str"/>
      <x:c r="J36" s="19" t="str"/>
      <x:c r="K36" s="19" t="str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</x:sheetData>
  <x:conditionalFormatting sqref="H7:H36">
    <x:cfRule type="containsText" dxfId="7" priority="1" operator="containsText" text="失败"/>
  </x:conditionalFormatting>
  <x:dataValidations count="1">
    <x:dataValidation type="list" sqref="H7:H36">
      <x:formula1>"未执行,执行中,通过,失败,阻塞,不适用"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813e43a9974e86"/>
  </x:tableParts>
</x:worksheet>
</file>

<file path=xl/worksheets/sheet6.xml><?xml version="1.0" encoding="utf-8"?>
<x:worksheet xmlns:x="http://schemas.openxmlformats.org/spreadsheetml/2006/main">
  <x:sheetPr>
    <x:tabColor rgb="FF7C8A9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1" hidden="0" customWidth="1"/>
    <x:col min="3" max="3" width="64" hidden="0" customWidth="1"/>
    <x:col min="4" max="4" width="79" hidden="0" customWidth="1"/>
    <x:col min="5" max="5" width="4" hidden="0" customWidth="1"/>
    <x:col min="6" max="6" width="84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31" customHeight="1">
      <x:c r="A2" s="3" t="str">
        <x:v>估算基线和实施约定</x:v>
      </x:c>
      <x:c r="B2" s="2"/>
      <x:c r="C2" s="2"/>
      <x:c r="D2" s="2"/>
      <x:c r="E2" s="2"/>
      <x:c r="F2" s="2"/>
    </x:row>
    <x:row r="3" ht="24" customHeight="1">
      <x:c r="A3" s="4" t="str">
        <x:v>所有任务均为规划，未实施。数值是可调整的工程估算，M0完成真实样本验证后重估。</x:v>
      </x:c>
      <x:c r="B3" s="2"/>
      <x:c r="C3" s="2"/>
      <x:c r="D3" s="2"/>
      <x:c r="E3" s="2"/>
      <x:c r="F3" s="2"/>
    </x:row>
    <x:row r="4" ht="8" customHeight="1">
      <x:c r="A4" s="5"/>
      <x:c r="B4" s="5"/>
      <x:c r="C4" s="5"/>
      <x:c r="D4" s="5"/>
      <x:c r="E4" s="5"/>
      <x:c r="F4" s="5"/>
    </x:row>
    <x:row r="5" ht="48" customHeight="1">
      <x:c r="A5" s="13" t="str">
        <x:v>交付人员折算</x:v>
      </x:c>
      <x:c r="B5" s="30" t="n">
        <x:v>4.5</x:v>
      </x:c>
      <x:c r="C5" s="13" t="str">
        <x:v>默认4名工程师加0.5名测试运维；行业复核投入另行安排</x:v>
      </x:c>
      <x:c r="D5" s="2"/>
      <x:c r="E5" s="2"/>
      <x:c r="F5" s="2"/>
    </x:row>
    <x:row r="6" ht="48" customHeight="1">
      <x:c r="A6" s="13" t="str">
        <x:v>有效交付比例</x:v>
      </x:c>
      <x:c r="B6" s="31" t="n">
        <x:v>0.75</x:v>
      </x:c>
      <x:c r="C6" s="13" t="str">
        <x:v>扣除沟通、评审和其他工作后的参考产能比例</x:v>
      </x:c>
      <x:c r="D6" s="2"/>
      <x:c r="E6" s="2"/>
      <x:c r="F6" s="2"/>
    </x:row>
    <x:row r="7" ht="48" customHeight="1">
      <x:c r="A7" s="13" t="str">
        <x:v>每人每周工作日</x:v>
      </x:c>
      <x:c r="B7" s="32" t="n">
        <x:v>5</x:v>
      </x:c>
      <x:c r="C7" s="13" t="str">
        <x:v>用于估算产能，实际日历由团队决定</x:v>
      </x:c>
      <x:c r="D7" s="2"/>
      <x:c r="E7" s="2"/>
      <x:c r="F7" s="2"/>
    </x:row>
    <x:row r="8" ht="48" customHeight="1">
      <x:c r="A8" s="13" t="str">
        <x:v>风险预留比例</x:v>
      </x:c>
      <x:c r="B8" s="31" t="n">
        <x:v>0.25</x:v>
      </x:c>
      <x:c r="C8" s="13" t="str">
        <x:v>在任务净人日之上增加；不代表已知排期承诺</x:v>
      </x:c>
      <x:c r="D8" s="2"/>
      <x:c r="E8" s="2"/>
      <x:c r="F8" s="2"/>
    </x:row>
    <x:row r="9" ht="48" customHeight="1">
      <x:c r="A9" s="13" t="str">
        <x:v>估算口径</x:v>
      </x:c>
      <x:c r="B9" s="13" t="str">
        <x:v>实现及必要验证</x:v>
      </x:c>
      <x:c r="C9" s="13" t="str">
        <x:v>工作量除产能仅为排期参考；不含第三方等待和材料授权等待</x:v>
      </x:c>
      <x:c r="D9" s="2"/>
      <x:c r="E9" s="2"/>
      <x:c r="F9" s="2"/>
    </x:row>
    <x:row r="10" ht="24" customHeight="1">
      <x:c r="A10" s="2"/>
      <x:c r="B10" s="2"/>
      <x:c r="C10" s="2"/>
      <x:c r="D10" s="2"/>
      <x:c r="E10" s="2"/>
      <x:c r="F10" s="2"/>
    </x:row>
    <x:row r="11" ht="24" customHeight="1">
      <x:c r="A11" s="2"/>
      <x:c r="B11" s="2"/>
      <x:c r="C11" s="2"/>
      <x:c r="D11" s="2"/>
      <x:c r="E11" s="2"/>
      <x:c r="F11" s="2"/>
    </x:row>
    <x:row r="12" ht="34" customHeight="1">
      <x:c r="A12" s="10" t="str">
        <x:v>阶段</x:v>
      </x:c>
      <x:c r="B12" s="11" t="str">
        <x:v>范围</x:v>
      </x:c>
      <x:c r="C12" s="11" t="str">
        <x:v>交付含义</x:v>
      </x:c>
      <x:c r="D12" s="12" t="str">
        <x:v>完成判断</x:v>
      </x:c>
      <x:c r="E12" s="2"/>
      <x:c r="F12" s="2"/>
    </x:row>
    <x:row r="13" ht="48" hidden="0" customHeight="1">
      <x:c r="A13" s="16" t="str">
        <x:v>P0</x:v>
      </x:c>
      <x:c r="B13" s="16" t="str">
        <x:v>基础闭环</x:v>
      </x:c>
      <x:c r="C13" s="16" t="str">
        <x:v>双平台 持续任务 字幕ASR 证据 知识复核 MCP 原生整理Skill</x:v>
      </x:c>
      <x:c r="D13" s="16" t="str">
        <x:v>基础路径可使用，且通过相应可靠性、隔离与证据门禁</x:v>
      </x:c>
      <x:c r="E13" s="2"/>
      <x:c r="F13" s="2"/>
    </x:row>
    <x:row r="14" ht="48" hidden="0" customHeight="1">
      <x:c r="A14" s="18" t="str">
        <x:v>P1</x:v>
      </x:c>
      <x:c r="B14" s="18" t="str">
        <x:v>完整首版补齐</x:v>
      </x:c>
      <x:c r="C14" s="18" t="str">
        <x:v>视觉 跨源冲突 方法候选 评测 构建部署安装</x:v>
      </x:c>
      <x:c r="D14" s="18" t="str">
        <x:v>与P0共同构成完整V1，实际宿主验收通过</x:v>
      </x:c>
      <x:c r="E14" s="2"/>
      <x:c r="F14" s="2"/>
    </x:row>
    <x:row r="15" ht="48" hidden="0" customHeight="1">
      <x:c r="A15" s="16" t="str">
        <x:v>P2</x:v>
      </x:c>
      <x:c r="B15" s="16" t="str">
        <x:v>后续扩展</x:v>
      </x:c>
      <x:c r="C15" s="16" t="str">
        <x:v>更多平台 CLI 动态Skill registry和可选运行桥</x:v>
      </x:c>
      <x:c r="D15" s="16" t="str">
        <x:v>不计入完整V1工期与发布范围</x:v>
      </x:c>
      <x:c r="E15" s="2"/>
      <x:c r="F15" s="2"/>
    </x:row>
    <x:row r="16" ht="24" customHeight="1">
      <x:c r="A16" s="2"/>
      <x:c r="B16" s="2"/>
      <x:c r="C16" s="2"/>
      <x:c r="D16" s="2"/>
      <x:c r="E16" s="2"/>
      <x:c r="F16" s="2"/>
    </x:row>
    <x:row r="17" ht="24" customHeight="1">
      <x:c r="A17" s="2"/>
      <x:c r="B17" s="2"/>
      <x:c r="C17" s="2"/>
      <x:c r="D17" s="2"/>
      <x:c r="E17" s="2"/>
      <x:c r="F17" s="2"/>
    </x:row>
    <x:row r="18" ht="34" customHeight="1">
      <x:c r="A18" s="10" t="str">
        <x:v>编号</x:v>
      </x:c>
      <x:c r="B18" s="11" t="str">
        <x:v>约定</x:v>
      </x:c>
      <x:c r="C18" s="11" t="str">
        <x:v>默认值或假设</x:v>
      </x:c>
      <x:c r="D18" s="12" t="str">
        <x:v>启动校准动作</x:v>
      </x:c>
      <x:c r="E18" s="2"/>
      <x:c r="F18" s="2"/>
    </x:row>
    <x:row r="19" ht="60" hidden="0" customHeight="1">
      <x:c r="A19" s="16" t="str">
        <x:v>A01</x:v>
      </x:c>
      <x:c r="B19" s="16" t="str">
        <x:v>首个垂直行业</x:v>
      </x:c>
      <x:c r="C19" s="16" t="str">
        <x:v>未指定；先用可配置领域模板和用户提供的合法可用样本完成，储能仅可作为例子</x:v>
      </x:c>
      <x:c r="D19" s="16" t="str">
        <x:v>M0按实际业务冻结术语、问题和样本，不假定WeaveSense-Math只服务数学。</x:v>
      </x:c>
      <x:c r="E19" s="2"/>
      <x:c r="F19" s="2"/>
    </x:row>
    <x:row r="20" ht="60" hidden="0" customHeight="1">
      <x:c r="A20" s="18" t="str">
        <x:v>A02</x:v>
      </x:c>
      <x:c r="B20" s="18" t="str">
        <x:v>首版来源</x:v>
      </x:c>
      <x:c r="C20" s="18" t="str">
        <x:v>B站和抖音；单视频和指定账号</x:v>
      </x:c>
      <x:c r="D20" s="18" t="str">
        <x:v>不把全站搜索、直播录制、付费内容或全量历史镜像纳入V1。</x:v>
      </x:c>
      <x:c r="E20" s="2"/>
      <x:c r="F20" s="2"/>
    </x:row>
    <x:row r="21" ht="60" hidden="0" customHeight="1">
      <x:c r="A21" s="16" t="str">
        <x:v>A03</x:v>
      </x:c>
      <x:c r="B21" s="16" t="str">
        <x:v>试点规模</x:v>
      </x:c>
      <x:c r="C21" s="16" t="str">
        <x:v>1个workspace，20个来源，每日最多50条新视频的参考负载</x:v>
      </x:c>
      <x:c r="D21" s="16" t="str">
        <x:v>是压测输入，不是已验证吞吐；M0按硬件和真实时长修订。</x:v>
      </x:c>
      <x:c r="E21" s="2"/>
      <x:c r="F21" s="2"/>
    </x:row>
    <x:row r="22" ht="60" hidden="0" customHeight="1">
      <x:c r="A22" s="18" t="str">
        <x:v>A04</x:v>
      </x:c>
      <x:c r="B22" s="18" t="str">
        <x:v>处理资源</x:v>
      </x:c>
      <x:c r="C22" s="18" t="str">
        <x:v>CPU基础部署，GPU按ASR/VLM实测选用</x:v>
      </x:c>
      <x:c r="D22" s="18" t="str">
        <x:v>不承诺未测的实时倍速或GPU规格，算法调用复用宿主Model Gateway。</x:v>
      </x:c>
      <x:c r="E22" s="2"/>
      <x:c r="F22" s="2"/>
    </x:row>
    <x:row r="23" ht="60" hidden="0" customHeight="1">
      <x:c r="A23" s="16" t="str">
        <x:v>A05</x:v>
      </x:c>
      <x:c r="B23" s="16" t="str">
        <x:v>保存策略</x:v>
      </x:c>
      <x:c r="C23" s="16" t="str">
        <x:v>建议原媒体30天，失败临时文件7天，结构化知识按workspace策略保留</x:v>
      </x:c>
      <x:c r="D23" s="16" t="str">
        <x:v>合法使用期限更短时采用较短期限；引用显示原件已清理状态。</x:v>
      </x:c>
      <x:c r="E23" s="2"/>
      <x:c r="F23" s="2"/>
    </x:row>
    <x:row r="24" ht="60" hidden="0" customHeight="1">
      <x:c r="A24" s="18" t="str">
        <x:v>A06</x:v>
      </x:c>
      <x:c r="B24" s="18" t="str">
        <x:v>版本定义</x:v>
      </x:c>
      <x:c r="C24" s="18" t="str">
        <x:v>P0基础闭环，P1完整首版补齐，P2后续扩展；V1=P0+P1</x:v>
      </x:c>
      <x:c r="D24" s="18" t="str">
        <x:v>阶段代表范围，不代表可跳过安全、证据或可靠性验收。</x:v>
      </x:c>
      <x:c r="E24" s="2"/>
      <x:c r="F24" s="2"/>
    </x:row>
    <x:row r="25" ht="60" hidden="0" customHeight="1">
      <x:c r="A25" s="16" t="str">
        <x:v>A07</x:v>
      </x:c>
      <x:c r="B25" s="16" t="str">
        <x:v>工期测算</x:v>
      </x:c>
      <x:c r="C25" s="16" t="str">
        <x:v>工作量含实现与对应验证，另设25%风险预留</x:v>
      </x:c>
      <x:c r="D25" s="16" t="str">
        <x:v>不含行业材料准备等待、采购、第三方账号审批；工作量除产能不等于承诺日期。</x:v>
      </x:c>
      <x:c r="E25" s="2"/>
      <x:c r="F25" s="2"/>
    </x:row>
    <x:row r="26" ht="60" hidden="0" customHeight="1">
      <x:c r="A26" s="18" t="str">
        <x:v>A08</x:v>
      </x:c>
      <x:c r="B26" s="18" t="str">
        <x:v>部署与数据库</x:v>
      </x:c>
      <x:c r="C26" s="18" t="str">
        <x:v>同宿主环境部署，Go平台与Loom保持原职责，DTK有自有运维存储</x:v>
      </x:c>
      <x:c r="D26" s="18" t="str">
        <x:v>宿主知识唯一权威在flow_intel；DTK自有归档不成为业务知识库。</x:v>
      </x:c>
      <x:c r="E26" s="2"/>
      <x:c r="F26" s="2"/>
    </x:row>
    <x:row r="27" ht="24" customHeight="1">
      <x:c r="A27" s="2"/>
      <x:c r="B27" s="2"/>
      <x:c r="C27" s="2"/>
      <x:c r="D27" s="2"/>
      <x:c r="E27" s="2"/>
      <x:c r="F27" s="2"/>
    </x:row>
    <x:row r="28" ht="24" customHeight="1">
      <x:c r="A28" s="2"/>
      <x:c r="B28" s="2"/>
      <x:c r="C28" s="2"/>
      <x:c r="D28" s="2"/>
      <x:c r="E28" s="2"/>
      <x:c r="F28" s="2"/>
    </x:row>
    <x:row r="29" ht="34" customHeight="1">
      <x:c r="A29" s="10" t="str">
        <x:v>编号</x:v>
      </x:c>
      <x:c r="B29" s="11" t="str">
        <x:v>风险</x:v>
      </x:c>
      <x:c r="C29" s="11" t="str">
        <x:v>影响或触发</x:v>
      </x:c>
      <x:c r="D29" s="12" t="str">
        <x:v>应对与责任</x:v>
      </x:c>
      <x:c r="E29" s="2"/>
      <x:c r="F29" s="2"/>
    </x:row>
    <x:row r="30" ht="60" hidden="0" customHeight="1">
      <x:c r="A30" s="16" t="str">
        <x:v>RK01</x:v>
      </x:c>
      <x:c r="B30" s="16" t="str">
        <x:v>上游平台与凭据变化</x:v>
      </x:c>
      <x:c r="C30" s="16" t="str">
        <x:v>采集突然失败或授权过期</x:v>
      </x:c>
      <x:c r="D30" s="16" t="str">
        <x:v>锁定适配器版本、错误分类、限流和连接健康，持续小样本回归；责任：采集后端</x:v>
      </x:c>
      <x:c r="E30" s="2"/>
      <x:c r="F30" s="2"/>
    </x:row>
    <x:row r="31" ht="60" hidden="0" customHeight="1">
      <x:c r="A31" s="18" t="str">
        <x:v>RK02</x:v>
      </x:c>
      <x:c r="B31" s="18" t="str">
        <x:v>语音与行业术语识别偏差</x:v>
      </x:c>
      <x:c r="C31" s="18" t="str">
        <x:v>参数或工序提取错误</x:v>
      </x:c>
      <x:c r="D31" s="18" t="str">
        <x:v>术语表、时间轴证据、低质标记和人工复核，不把模型分数当真值；责任：AI工程师和行业复核人</x:v>
      </x:c>
      <x:c r="E31" s="2"/>
      <x:c r="F31" s="2"/>
    </x:row>
    <x:row r="32" ht="60" hidden="0" customHeight="1">
      <x:c r="A32" s="16" t="str">
        <x:v>RK03</x:v>
      </x:c>
      <x:c r="B32" s="16" t="str">
        <x:v>视频信息只在画面</x:v>
      </x:c>
      <x:c r="C32" s="16" t="str">
        <x:v>纯音频知识不完整</x:v>
      </x:c>
      <x:c r="D32" s="16" t="str">
        <x:v>视觉必需策略、帧OCR/VLM、覆盖清单，未满足不得完整就绪；责任：AI工程师</x:v>
      </x:c>
      <x:c r="E32" s="2"/>
      <x:c r="F32" s="2"/>
    </x:row>
    <x:row r="33" ht="60" hidden="0" customHeight="1">
      <x:c r="A33" s="18" t="str">
        <x:v>RK04</x:v>
      </x:c>
      <x:c r="B33" s="18" t="str">
        <x:v>跨服务超时或重投</x:v>
      </x:c>
      <x:c r="C33" s="18" t="str">
        <x:v>重复任务和重复费用</x:v>
      </x:c>
      <x:c r="D33" s="18" t="str">
        <x:v>同一幂等键、外部task映射、租约fencing和阶段重用；责任：平台及采集后端</x:v>
      </x:c>
      <x:c r="E33" s="2"/>
      <x:c r="F33" s="2"/>
    </x:row>
    <x:row r="34" ht="60" hidden="0" customHeight="1">
      <x:c r="A34" s="16" t="str">
        <x:v>RK05</x:v>
      </x:c>
      <x:c r="B34" s="16" t="str">
        <x:v>旧文档链路覆盖派生产物</x:v>
      </x:c>
      <x:c r="C34" s="16" t="str">
        <x:v>转写丢失或引用错位</x:v>
      </x:c>
      <x:c r="D34" s="16" t="str">
        <x:v>raw与derived分离、immutable revision及内容哈希回归；责任：知识后端</x:v>
      </x:c>
      <x:c r="E34" s="2"/>
      <x:c r="F34" s="2"/>
    </x:row>
    <x:row r="35" ht="60" hidden="0" customHeight="1">
      <x:c r="A35" s="18" t="str">
        <x:v>RK06</x:v>
      </x:c>
      <x:c r="B35" s="18" t="str">
        <x:v>内部MCP连接与权限委托</x:v>
      </x:c>
      <x:c r="C35" s="18" t="str">
        <x:v>误放开私网访问或跨workspace泄漏</x:v>
      </x:c>
      <x:c r="D35" s="18" t="str">
        <x:v>固定服务身份、独立allowlist传输、签名scope和发布重检；责任：平台后端</x:v>
      </x:c>
      <x:c r="E35" s="2"/>
      <x:c r="F35" s="2"/>
    </x:row>
    <x:row r="36" ht="60" hidden="0" customHeight="1">
      <x:c r="A36" s="16" t="str">
        <x:v>RK07</x:v>
      </x:c>
      <x:c r="B36" s="16" t="str">
        <x:v>行业复核带宽不足</x:v>
      </x:c>
      <x:c r="C36" s="16" t="str">
        <x:v>候选堆积，已发布知识增长慢</x:v>
      </x:c>
      <x:c r="D36" s="16" t="str">
        <x:v>先选一个领域、每批限制、复核队列分级与有效性指标；责任：产品和行业复核人</x:v>
      </x:c>
      <x:c r="E36" s="2"/>
      <x:c r="F36" s="2"/>
    </x:row>
    <x:row r="37" ht="60" hidden="0" customHeight="1">
      <x:c r="A37" s="18" t="str">
        <x:v>RK08</x:v>
      </x:c>
      <x:c r="B37" s="18" t="str">
        <x:v>计算与媒体成本超预期</x:v>
      </x:c>
      <x:c r="C37" s="18" t="str">
        <x:v>任务积压或费用不可控</x:v>
      </x:c>
      <x:c r="D37" s="18" t="str">
        <x:v>M0实测、字幕优先、分段缓存、处理配额和保留期；责任：运维和AI工程师</x:v>
      </x:c>
      <x:c r="E37" s="2"/>
      <x:c r="F37" s="2"/>
    </x:row>
    <x:row r="38" ht="60" hidden="0" customHeight="1">
      <x:c r="A38" s="16" t="str">
        <x:v>RK09</x:v>
      </x:c>
      <x:c r="B38" s="16" t="str">
        <x:v>Skill批准与上线混同</x:v>
      </x:c>
      <x:c r="C38" s="16" t="str">
        <x:v>用户误以为新方法已生效</x:v>
      </x:c>
      <x:c r="D38" s="16" t="str">
        <x:v>分离approved/deployed/installed状态，固定版本并提供回滚；责任：平台后端和发布负责人</x:v>
      </x:c>
      <x:c r="E38" s="2"/>
      <x:c r="F38" s="2"/>
    </x:row>
    <x:row r="39" ht="60" hidden="0" customHeight="1">
      <x:c r="A39" s="18" t="str">
        <x:v>RK10</x:v>
      </x:c>
      <x:c r="B39" s="18" t="str">
        <x:v>内容使用或保留权限不足</x:v>
      </x:c>
      <x:c r="C39" s="18" t="str">
        <x:v>部分素材不能持续使用</x:v>
      </x:c>
      <x:c r="D39" s="18" t="str">
        <x:v>记录来源与授权依据、受限内容阻断、保留与删除联动；不绕过登录/付费/DRM；责任：来源维护人</x:v>
      </x:c>
      <x:c r="E39" s="2"/>
      <x:c r="F39" s="2"/>
    </x:row>
    <x:row r="40" ht="24" customHeight="1">
      <x:c r="A40" s="2"/>
      <x:c r="B40" s="2"/>
      <x:c r="C40" s="2"/>
      <x:c r="D40" s="2"/>
      <x:c r="E40" s="2"/>
      <x:c r="F40" s="2"/>
    </x:row>
    <x:row r="41" ht="24" customHeight="1">
      <x:c r="A41" s="2"/>
      <x:c r="B41" s="2"/>
      <x:c r="C41" s="2"/>
      <x:c r="D41" s="2"/>
      <x:c r="E41" s="2"/>
      <x:c r="F41" s="2"/>
    </x:row>
    <x:row r="42" ht="24" customHeight="1">
      <x:c r="A42" s="33" t="str">
        <x:v>固定源码基线</x:v>
      </x:c>
      <x:c r="B42" s="2"/>
      <x:c r="C42" s="2"/>
      <x:c r="D42" s="2"/>
      <x:c r="E42" s="2"/>
      <x:c r="F42" s="2"/>
    </x:row>
    <x:row r="43" ht="24" customHeight="1">
      <x:c r="A43" s="2" t="str">
        <x:v>源代码事实以固定提交为准；接口、任务、指标与工期是拟实施设计。</x:v>
      </x:c>
      <x:c r="B43" s="2"/>
      <x:c r="C43" s="2"/>
      <x:c r="D43" s="2"/>
      <x:c r="E43" s="2"/>
      <x:c r="F43" s="2"/>
    </x:row>
    <x:row r="44" ht="24" customHeight="1">
      <x:c r="A44" s="2"/>
      <x:c r="B44" s="2"/>
      <x:c r="C44" s="2"/>
      <x:c r="D44" s="2"/>
      <x:c r="E44" s="2"/>
      <x:c r="F44" s="2"/>
    </x:row>
    <x:row r="45" ht="34" customHeight="1">
      <x:c r="A45" s="10" t="str">
        <x:v>依据编号</x:v>
      </x:c>
      <x:c r="B45" s="11" t="str">
        <x:v>来源</x:v>
      </x:c>
      <x:c r="C45" s="11" t="str">
        <x:v>支持的判断</x:v>
      </x:c>
      <x:c r="D45" s="12" t="str">
        <x:v>固定版本链接</x:v>
      </x:c>
      <x:c r="E45" s="2"/>
      <x:c r="F45" s="2"/>
    </x:row>
    <x:row r="46" ht="54" customHeight="1">
      <x:c r="A46" s="13" t="str">
        <x:v>S01</x:v>
      </x:c>
      <x:c r="B46" s="13" t="str">
        <x:v>宿主责任与部署边界</x:v>
      </x:c>
      <x:c r="C46" s="13" t="str">
        <x:v>Go 平台与 Loom 的职责、双逻辑数据库及 API 与 Outbox 边界。</x:v>
      </x:c>
      <x:c r="D46" s="34" t="str">
        <x:v>https://github.com/newyngwieslash-ops/WeaveSense-Math/blob/514c70f666cb04e3e72cbfb967fac74d9f350747/docs/flow/architecture.md</x:v>
      </x:c>
      <x:c r="E46" s="2"/>
      <x:c r="F46" s="2"/>
    </x:row>
    <x:row r="47" ht="54" customHeight="1">
      <x:c r="A47" s="13" t="str">
        <x:v>S02</x:v>
      </x:c>
      <x:c r="B47" s="13" t="str">
        <x:v>现行采集和任务引擎</x:v>
      </x:c>
      <x:c r="C47" s="13" t="str">
        <x:v>当前源类型、采集幂等、租约、事务入库、ASR 补全和调度。</x:v>
      </x:c>
      <x:c r="D47" s="34" t="str">
        <x:v>https://github.com/newyngwieslash-ops/WeaveSense-Math/blob/514c70f666cb04e3e72cbfb967fac74d9f350747/services/loom-engine/flow/engine.ts</x:v>
      </x:c>
      <x:c r="E47" s="2"/>
      <x:c r="F47" s="2"/>
    </x:row>
    <x:row r="48" ht="54" customHeight="1">
      <x:c r="A48" s="13" t="str">
        <x:v>S03</x:v>
      </x:c>
      <x:c r="B48" s="13" t="str">
        <x:v>宿主 MCP Gateway</x:v>
      </x:c>
      <x:c r="C48" s="13" t="str">
        <x:v>Streamable HTTP、连接批准、Schema 冻结、调用超时和输出上限。</x:v>
      </x:c>
      <x:c r="D48" s="34" t="str">
        <x:v>https://github.com/newyngwieslash-ops/WeaveSense-Math/blob/514c70f666cb04e3e72cbfb967fac74d9f350747/backend/internal/flow/mcp.go</x:v>
      </x:c>
      <x:c r="E48" s="2"/>
      <x:c r="F48" s="2"/>
    </x:row>
    <x:row r="49" ht="54" customHeight="1">
      <x:c r="A49" s="13" t="str">
        <x:v>S04</x:v>
      </x:c>
      <x:c r="B49" s="13" t="str">
        <x:v>ASR OCR 上层适配</x:v>
      </x:c>
      <x:c r="C49" s="13" t="str">
        <x:v>现有语音与视觉服务调用适配。</x:v>
      </x:c>
      <x:c r="D49" s="34" t="str">
        <x:v>https://github.com/newyngwieslash-ops/WeaveSense-Math/blob/514c70f666cb04e3e72cbfb967fac74d9f350747/services/loom-engine/flow/enrichment.ts</x:v>
      </x:c>
      <x:c r="E49" s="2"/>
      <x:c r="F49" s="2"/>
    </x:row>
    <x:row r="50" ht="54" customHeight="1">
      <x:c r="A50" s="13" t="str">
        <x:v>S05</x:v>
      </x:c>
      <x:c r="B50" s="13" t="str">
        <x:v>宿主 ASR Worker</x:v>
      </x:c>
      <x:c r="C50" s="13" t="str">
        <x:v>faster-whisper、segments 返回及当前截断行为。</x:v>
      </x:c>
      <x:c r="D50" s="34" t="str">
        <x:v>https://github.com/newyngwieslash-ops/WeaveSense-Math/blob/514c70f666cb04e3e72cbfb967fac74d9f350747/services/loom-engine/workers/asr/server.py</x:v>
      </x:c>
      <x:c r="E50" s="2"/>
      <x:c r="F50" s="2"/>
    </x:row>
    <x:row r="51" ht="54" customHeight="1">
      <x:c r="A51" s="13" t="str">
        <x:v>S06</x:v>
      </x:c>
      <x:c r="B51" s="13" t="str">
        <x:v>Flow 原生行业 Skill</x:v>
      </x:c>
      <x:c r="C51" s="13" t="str">
        <x:v>go:embed 的 JSON 技能包、内容哈希和版本。</x:v>
      </x:c>
      <x:c r="D51" s="34" t="str">
        <x:v>https://github.com/newyngwieslash-ops/WeaveSense-Math/blob/514c70f666cb04e3e72cbfb967fac74d9f350747/backend/internal/flow/skills.go</x:v>
      </x:c>
      <x:c r="E51" s="2"/>
      <x:c r="F51" s="2"/>
    </x:row>
    <x:row r="52" ht="54" customHeight="1">
      <x:c r="A52" s="13" t="str">
        <x:v>S07</x:v>
      </x:c>
      <x:c r="B52" s="13" t="str">
        <x:v>Canvas 数据源执行</x:v>
      </x:c>
      <x:c r="C52" s="13" t="str">
        <x:v>MCP 工具输出与宿主文档证据入库是不同步骤。</x:v>
      </x:c>
      <x:c r="D52" s="34" t="str">
        <x:v>https://github.com/newyngwieslash-ops/WeaveSense-Math/blob/514c70f666cb04e3e72cbfb967fac74d9f350747/backend/internal/flow/canvas_workflow_sources.go</x:v>
      </x:c>
      <x:c r="E52" s="2"/>
      <x:c r="F52" s="2"/>
    </x:row>
    <x:row r="53" ht="54" customHeight="1">
      <x:c r="A53" s="13" t="str">
        <x:v>S08</x:v>
      </x:c>
      <x:c r="B53" s="13" t="str">
        <x:v>周期采集触发 Canvas</x:v>
      </x:c>
      <x:c r="C53" s="13" t="str">
        <x:v>collection.completed 消费与 Canvas 运行幂等。</x:v>
      </x:c>
      <x:c r="D53" s="34" t="str">
        <x:v>https://github.com/newyngwieslash-ops/WeaveSense-Math/blob/514c70f666cb04e3e72cbfb967fac74d9f350747/backend/internal/flow/canvas_auto_run.go</x:v>
      </x:c>
      <x:c r="E53" s="2"/>
      <x:c r="F53" s="2"/>
    </x:row>
    <x:row r="54" ht="54" customHeight="1">
      <x:c r="A54" s="13" t="str">
        <x:v>S09</x:v>
      </x:c>
      <x:c r="B54" s="13" t="str">
        <x:v>现有外联地址保护</x:v>
      </x:c>
      <x:c r="C54" s="13" t="str">
        <x:v>公网传输默认阻止私网、回环及元数据地址。</x:v>
      </x:c>
      <x:c r="D54" s="34" t="str">
        <x:v>https://github.com/newyngwieslash-ops/WeaveSense-Math/blob/514c70f666cb04e3e72cbfb967fac74d9f350747/backend/internal/flow/egress.go</x:v>
      </x:c>
      <x:c r="E54" s="2"/>
      <x:c r="F54" s="2"/>
    </x:row>
    <x:row r="55" ht="57" customHeight="1">
      <x:c r="A55" s="13" t="str">
        <x:v>S10</x:v>
      </x:c>
      <x:c r="B55" s="13" t="str">
        <x:v>源类型数据库约束</x:v>
      </x:c>
      <x:c r="C55" s="13" t="str">
        <x:v>当前 rss telegram wechat 约束需随视频源扩展。</x:v>
      </x:c>
      <x:c r="D55" s="34" t="str">
        <x:v>https://github.com/newyngwieslash-ops/WeaveSense-Math/blob/514c70f666cb04e3e72cbfb967fac74d9f350747/services/loom-engine/flow/migrations/0004_connectors.sql</x:v>
      </x:c>
      <x:c r="E55" s="2"/>
      <x:c r="F55" s="2"/>
    </x:row>
    <x:row r="56" ht="54" customHeight="1">
      <x:c r="A56" s="13" t="str">
        <x:v>S11</x:v>
      </x:c>
      <x:c r="B56" s="13" t="str">
        <x:v>普通 Skill 文件包</x:v>
      </x:c>
      <x:c r="C56" s="13" t="str">
        <x:v>SKILL.md 包的安装与文件管理机制。</x:v>
      </x:c>
      <x:c r="D56" s="34" t="str">
        <x:v>https://github.com/newyngwieslash-ops/WeaveSense-Math/blob/514c70f666cb04e3e72cbfb967fac74d9f350747/backend/internal/skills/skill_packages.go</x:v>
      </x:c>
      <x:c r="E56" s="2"/>
      <x:c r="F56" s="2"/>
    </x:row>
    <x:row r="57" ht="54" customHeight="1">
      <x:c r="A57" s="13" t="str">
        <x:v>S12</x:v>
      </x:c>
      <x:c r="B57" s="13" t="str">
        <x:v>行业包发布约定</x:v>
      </x:c>
      <x:c r="C57" s="13" t="str">
        <x:v>行业包导出、源文件及版本管理约定。</x:v>
      </x:c>
      <x:c r="D57" s="34" t="str">
        <x:v>https://github.com/newyngwieslash-ops/WeaveSense-Math/blob/514c70f666cb04e3e72cbfb967fac74d9f350747/industry-packs/README.md</x:v>
      </x:c>
      <x:c r="E57" s="2"/>
      <x:c r="F57" s="2"/>
    </x:row>
    <x:row r="58" ht="54" customHeight="1">
      <x:c r="A58" s="13" t="str">
        <x:v>S13</x:v>
      </x:c>
      <x:c r="B58" s="13" t="str">
        <x:v>BiliNote 项目</x:v>
      </x:c>
      <x:c r="C58" s="13" t="str">
        <x:v>视频笔记、多模态抽帧与现有项目能力。</x:v>
      </x:c>
      <x:c r="D58" s="34" t="str">
        <x:v>https://github.com/JefferyHcool/BiliNote/blob/90940fde4d224d0f69ad99674f4af0a1ea52d3c4/README.md</x:v>
      </x:c>
      <x:c r="E58" s="2"/>
      <x:c r="F58" s="2"/>
    </x:row>
    <x:row r="59" ht="54" customHeight="1">
      <x:c r="A59" s="13" t="str">
        <x:v>S14</x:v>
      </x:c>
      <x:c r="B59" s="13" t="str">
        <x:v>BiliNote 视频帧处理</x:v>
      </x:c>
      <x:c r="C59" s="13" t="str">
        <x:v>抽帧与图片网格代码，抽取时需要任务目录隔离。</x:v>
      </x:c>
      <x:c r="D59" s="34" t="str">
        <x:v>https://github.com/JefferyHcool/BiliNote/blob/90940fde4d224d0f69ad99674f4af0a1ea52d3c4/backend/app/utils/video_reader.py</x:v>
      </x:c>
      <x:c r="E59" s="2"/>
      <x:c r="F59" s="2"/>
    </x:row>
    <x:row r="60" ht="54" customHeight="1">
      <x:c r="A60" s="13" t="str">
        <x:v>S15</x:v>
      </x:c>
      <x:c r="B60" s="13" t="str">
        <x:v>DTK 项目及集成能力</x:v>
      </x:c>
      <x:c r="C60" s="13" t="str">
        <x:v>抖音 TikTok B站采集下载，REST MCP CLI 等能力。</x:v>
      </x:c>
      <x:c r="D60" s="34" t="str">
        <x:v>https://github.com/Evil0ctal/Douyin_TikTok_Download_API/blob/3d540dbf3783449e638403b65d81c882c4a99575/README.zh-CN.md</x:v>
      </x:c>
      <x:c r="E60" s="2"/>
      <x:c r="F60" s="2"/>
    </x:row>
    <x:row r="61" ht="54" customHeight="1">
      <x:c r="A61" s="13" t="str">
        <x:v>S16</x:v>
      </x:c>
      <x:c r="B61" s="13" t="str">
        <x:v>DTK 下载与转写</x:v>
      </x:c>
      <x:c r="C61" s="13" t="str">
        <x:v>异步下载和转写边界；语音时间轴优先复用宿主。</x:v>
      </x:c>
      <x:c r="D61" s="34" t="str">
        <x:v>https://github.com/Evil0ctal/Douyin_TikTok_Download_API/blob/3d540dbf3783449e638403b65d81c882c4a99575/documents/zh/08-downloads-and-library.md</x:v>
      </x:c>
      <x:c r="E61" s="2"/>
      <x:c r="F61" s="2"/>
    </x:row>
    <x:row r="62" ht="54" customHeight="1">
      <x:c r="A62" s="13" t="str">
        <x:v>S17</x:v>
      </x:c>
      <x:c r="B62" s="13" t="str">
        <x:v>DTK MCP 接口</x:v>
      </x:c>
      <x:c r="C62" s="13" t="str">
        <x:v>上游 MCP 工具与异步任务查询。</x:v>
      </x:c>
      <x:c r="D62" s="34" t="str">
        <x:v>https://github.com/Evil0ctal/Douyin_TikTok_Download_API/blob/3d540dbf3783449e638403b65d81c882c4a99575/documents/zh/12-mcp.md</x:v>
      </x:c>
      <x:c r="E62" s="2"/>
      <x:c r="F62" s="2"/>
    </x:row>
    <x:row r="63" ht="54" customHeight="1">
      <x:c r="A63" s="13" t="str">
        <x:v>S18</x:v>
      </x:c>
      <x:c r="B63" s="13" t="str">
        <x:v>宿主近期实施记录</x:v>
      </x:c>
      <x:c r="C63" s="13" t="str">
        <x:v>行业工作流和周期执行实施记录；不等同于本项目实测。</x:v>
      </x:c>
      <x:c r="D63" s="34" t="str">
        <x:v>https://github.com/newyngwieslash-ops/WeaveSense-Math/blob/514c70f666cb04e3e72cbfb967fac74d9f350747/docs/flow/2026-10-25-canvas-industry-execution.md</x:v>
      </x:c>
      <x:c r="E63" s="2"/>
      <x:c r="F63" s="2"/>
    </x:row>
    <x:row r="64" ht="24" customHeight="1">
      <x:c r="A64" s="2"/>
      <x:c r="B64" s="2"/>
      <x:c r="C64" s="2"/>
      <x:c r="D64" s="2"/>
      <x:c r="E64" s="2"/>
      <x:c r="F64" s="2"/>
    </x:row>
    <x:row r="65" ht="24" customHeight="1">
      <x:c r="A65" s="2"/>
      <x:c r="B65" s="2"/>
      <x:c r="C65" s="2"/>
      <x:c r="D65" s="2"/>
      <x:c r="E65" s="2"/>
      <x:c r="F65" s="2"/>
    </x:row>
    <x:row r="66" ht="24" customHeight="1">
      <x:c r="A66" s="2"/>
      <x:c r="B66" s="2"/>
      <x:c r="C66" s="2"/>
      <x:c r="D66" s="2"/>
      <x:c r="E66" s="2"/>
      <x:c r="F66" s="2"/>
    </x:row>
    <x:row r="67" ht="24" customHeight="1">
      <x:c r="A67" s="2"/>
      <x:c r="B67" s="2"/>
      <x:c r="C67" s="2"/>
      <x:c r="D67" s="2"/>
      <x:c r="E67" s="2"/>
      <x:c r="F67" s="2"/>
    </x:row>
    <x:row r="68" ht="24" customHeight="1">
      <x:c r="A68" s="2"/>
      <x:c r="B68" s="2"/>
      <x:c r="C68" s="2"/>
      <x:c r="D68" s="2"/>
      <x:c r="E68" s="2"/>
      <x:c r="F68" s="2"/>
    </x:row>
    <x:row r="69" ht="24" customHeight="1">
      <x:c r="A69" s="2"/>
      <x:c r="B69" s="2"/>
      <x:c r="C69" s="2"/>
      <x:c r="D69" s="2"/>
      <x:c r="E69" s="2"/>
      <x:c r="F69" s="2"/>
    </x:row>
    <x:row r="70" ht="24" customHeight="1">
      <x:c r="A70" s="2"/>
      <x:c r="B70" s="2"/>
      <x:c r="C70" s="2"/>
      <x:c r="D70" s="2"/>
      <x:c r="E70" s="2"/>
      <x:c r="F70" s="2"/>
    </x:row>
    <x:row r="71" ht="24" customHeight="1">
      <x:c r="A71" s="2"/>
      <x:c r="B71" s="2"/>
      <x:c r="C71" s="2"/>
      <x:c r="D71" s="2"/>
      <x:c r="E71" s="2"/>
      <x:c r="F71" s="2"/>
    </x:row>
    <x:row r="72" ht="24" customHeight="1">
      <x:c r="A72" s="2"/>
      <x:c r="B72" s="2"/>
      <x:c r="C72" s="2"/>
      <x:c r="D72" s="2"/>
      <x:c r="E72" s="2"/>
      <x:c r="F72" s="2"/>
    </x:row>
    <x:row r="73" ht="24" customHeight="1">
      <x:c r="A73" s="2"/>
      <x:c r="B73" s="2"/>
      <x:c r="C73" s="2"/>
      <x:c r="D73" s="2"/>
      <x:c r="E73" s="2"/>
      <x:c r="F73" s="2"/>
    </x:row>
    <x:row r="74" ht="24" customHeight="1">
      <x:c r="A74" s="2"/>
      <x:c r="B74" s="2"/>
      <x:c r="C74" s="2"/>
      <x:c r="D74" s="2"/>
      <x:c r="E74" s="2"/>
      <x:c r="F74" s="2"/>
    </x:row>
    <x:row r="75" ht="24" customHeight="1">
      <x:c r="A75" s="2"/>
      <x:c r="B75" s="2"/>
      <x:c r="C75" s="2"/>
      <x:c r="D75" s="2"/>
      <x:c r="E75" s="2"/>
      <x:c r="F75" s="2"/>
    </x:row>
    <x:row r="76" ht="24" customHeight="1">
      <x:c r="A76" s="2"/>
      <x:c r="B76" s="2"/>
      <x:c r="C76" s="2"/>
      <x:c r="D76" s="2"/>
      <x:c r="E76" s="2"/>
      <x:c r="F76" s="2"/>
    </x:row>
    <x:row r="77" ht="24" customHeight="1">
      <x:c r="A77" s="2"/>
      <x:c r="B77" s="2"/>
      <x:c r="C77" s="2"/>
      <x:c r="D77" s="2"/>
      <x:c r="E77" s="2"/>
      <x:c r="F77" s="2"/>
    </x:row>
    <x:row r="78" ht="24" customHeight="1">
      <x:c r="A78" s="2"/>
      <x:c r="B78" s="2"/>
      <x:c r="C78" s="2"/>
      <x:c r="D78" s="2"/>
      <x:c r="E78" s="2"/>
      <x:c r="F78" s="2"/>
    </x:row>
    <x:row r="79" ht="24" customHeight="1">
      <x:c r="A79" s="2"/>
      <x:c r="B79" s="2"/>
      <x:c r="C79" s="2"/>
      <x:c r="D79" s="2"/>
      <x:c r="E79" s="2"/>
      <x:c r="F79" s="2"/>
    </x:row>
    <x:row r="80" ht="24" customHeight="1">
      <x:c r="A80" s="2"/>
      <x:c r="B80" s="2"/>
      <x:c r="C80" s="2"/>
      <x:c r="D80" s="2"/>
      <x:c r="E80" s="2"/>
      <x:c r="F80" s="2"/>
    </x:row>
    <x:row r="81" ht="24" customHeight="1">
      <x:c r="A81" s="2"/>
      <x:c r="B81" s="2"/>
      <x:c r="C81" s="2"/>
      <x:c r="D81" s="2"/>
      <x:c r="E81" s="2"/>
      <x:c r="F81" s="2"/>
    </x:row>
    <x:row r="82" ht="24" customHeight="1">
      <x:c r="A82" s="2"/>
      <x:c r="B82" s="2"/>
      <x:c r="C82" s="2"/>
      <x:c r="D82" s="2"/>
      <x:c r="E82" s="2"/>
      <x:c r="F82" s="2"/>
    </x:row>
    <x:row r="83" ht="24" customHeight="1">
      <x:c r="A83" s="2"/>
      <x:c r="B83" s="2"/>
      <x:c r="C83" s="2"/>
      <x:c r="D83" s="2"/>
      <x:c r="E83" s="2"/>
      <x:c r="F83" s="2"/>
    </x:row>
    <x:row r="84" ht="24" customHeight="1">
      <x:c r="A84" s="2"/>
      <x:c r="B84" s="2"/>
      <x:c r="C84" s="2"/>
      <x:c r="D84" s="2"/>
      <x:c r="E84" s="2"/>
      <x:c r="F84" s="2"/>
    </x:row>
    <x:row r="85" ht="24" customHeight="1">
      <x:c r="A85" s="2"/>
      <x:c r="B85" s="2"/>
      <x:c r="C85" s="2"/>
      <x:c r="D85" s="2"/>
      <x:c r="E85" s="2"/>
      <x:c r="F85" s="2"/>
    </x:row>
    <x:row r="86" ht="24" customHeight="1">
      <x:c r="A86" s="2"/>
      <x:c r="B86" s="2"/>
      <x:c r="C86" s="2"/>
      <x:c r="D86" s="2"/>
      <x:c r="E86" s="2"/>
      <x:c r="F86" s="2"/>
    </x:row>
    <x:row r="87" ht="24" customHeight="1">
      <x:c r="A87" s="2"/>
      <x:c r="B87" s="2"/>
      <x:c r="C87" s="2"/>
      <x:c r="D87" s="2"/>
      <x:c r="E87" s="2"/>
      <x:c r="F87" s="2"/>
    </x:row>
    <x:row r="88" ht="24" customHeight="1">
      <x:c r="A88" s="2"/>
      <x:c r="B88" s="2"/>
      <x:c r="C88" s="2"/>
      <x:c r="D88" s="2"/>
      <x:c r="E88" s="2"/>
      <x:c r="F88" s="2"/>
    </x:row>
    <x:row r="89" ht="24" customHeight="1">
      <x:c r="A89" s="2"/>
      <x:c r="B89" s="2"/>
      <x:c r="C89" s="2"/>
      <x:c r="D89" s="2"/>
      <x:c r="E89" s="2"/>
      <x:c r="F89" s="2"/>
    </x:row>
    <x:row r="90" ht="24" customHeight="1">
      <x:c r="A90" s="2"/>
      <x:c r="B90" s="2"/>
      <x:c r="C90" s="2"/>
      <x:c r="D90" s="2"/>
      <x:c r="E90" s="2"/>
      <x:c r="F90" s="2"/>
    </x:row>
  </x:sheetData>
  <x:dataValidations count="4">
    <x:dataValidation type="decimal" operator="greaterThan" sqref="B5">
      <x:formula1>0</x:formula1>
    </x:dataValidation>
    <x:dataValidation type="decimal" operator="between" sqref="B6">
      <x:formula1>0.01</x:formula1>
      <x:formula2>1</x:formula2>
    </x:dataValidation>
    <x:dataValidation type="whole" operator="between" sqref="B7">
      <x:formula1>1</x:formula1>
      <x:formula2>7</x:formula2>
    </x:dataValidation>
    <x:dataValidation type="decimal" operator="between" sqref="B8">
      <x:formula1>0</x:formula1>
      <x:formula2>2</x:formula2>
    </x:dataValidation>
  </x:dataValidations>
  <x:pageMargins left="0.7" right="0.7" top="0.75" bottom="0.75" header="0.3" footer="0.3"/>
  <x:tableParts count="3">
    <x:tablePart xmlns:r="http://schemas.openxmlformats.org/officeDocument/2006/relationships" r:id="Rb0eebae1861d4896"/>
    <x:tablePart xmlns:r="http://schemas.openxmlformats.org/officeDocument/2006/relationships" r:id="Re56d222a3dd442a5"/>
    <x:tablePart xmlns:r="http://schemas.openxmlformats.org/officeDocument/2006/relationships" r:id="R138648daa2574662"/>
  </x:tableParts>
</x:worksheet>
</file>